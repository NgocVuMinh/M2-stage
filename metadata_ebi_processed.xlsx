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titutcurie-my.sharepoint.com/personal/minh-ngoc_vu_curie_fr/Documents/"/>
    </mc:Choice>
  </mc:AlternateContent>
  <xr:revisionPtr revIDLastSave="203" documentId="8_{E468B6B4-F37E-4315-9EC4-C74C7026EDC5}" xr6:coauthVersionLast="47" xr6:coauthVersionMax="47" xr10:uidLastSave="{F2256A66-2526-453B-A5EF-3B1C85B8934B}"/>
  <bookViews>
    <workbookView xWindow="-30" yWindow="2520" windowWidth="25185" windowHeight="13125" activeTab="1" xr2:uid="{719273F8-FD6B-49FC-8DE6-0D5DF0C1B93E}"/>
  </bookViews>
  <sheets>
    <sheet name="Sheet1" sheetId="2" r:id="rId1"/>
    <sheet name="Sheet2" sheetId="3" r:id="rId2"/>
    <sheet name="metadata_ebi_processed" sheetId="1" r:id="rId3"/>
  </sheets>
  <calcPr calcId="0" concurrentCalc="0"/>
  <pivotCaches>
    <pivotCache cacheId="17" r:id="rId4"/>
  </pivotCaches>
</workbook>
</file>

<file path=xl/calcChain.xml><?xml version="1.0" encoding="utf-8"?>
<calcChain xmlns="http://schemas.openxmlformats.org/spreadsheetml/2006/main">
  <c r="E29" i="3" l="1"/>
  <c r="E28" i="3"/>
  <c r="D39" i="3"/>
  <c r="D29" i="3"/>
  <c r="D28" i="3"/>
  <c r="D45" i="3"/>
  <c r="C39" i="3"/>
  <c r="C29" i="3"/>
  <c r="C28" i="3"/>
  <c r="C45" i="3"/>
  <c r="E39" i="3"/>
  <c r="E45" i="3"/>
  <c r="F39" i="3"/>
  <c r="F29" i="3"/>
  <c r="F28" i="3"/>
  <c r="F45" i="3"/>
  <c r="G39" i="3"/>
  <c r="G29" i="3"/>
  <c r="G28" i="3"/>
  <c r="G45" i="3"/>
  <c r="H39" i="3"/>
  <c r="H29" i="3"/>
  <c r="H28" i="3"/>
  <c r="H45" i="3"/>
  <c r="I39" i="3"/>
  <c r="I29" i="3"/>
  <c r="I28" i="3"/>
  <c r="I45" i="3"/>
  <c r="J39" i="3"/>
  <c r="J29" i="3"/>
  <c r="J28" i="3"/>
  <c r="J45" i="3"/>
  <c r="K39" i="3"/>
  <c r="K29" i="3"/>
  <c r="K28" i="3"/>
  <c r="K45" i="3"/>
  <c r="L39" i="3"/>
  <c r="L29" i="3"/>
  <c r="L28" i="3"/>
  <c r="L45" i="3"/>
  <c r="M39" i="3"/>
  <c r="M29" i="3"/>
  <c r="M28" i="3"/>
  <c r="M45" i="3"/>
  <c r="N39" i="3"/>
  <c r="N29" i="3"/>
  <c r="N28" i="3"/>
  <c r="N45" i="3"/>
  <c r="O39" i="3"/>
  <c r="O29" i="3"/>
  <c r="O28" i="3"/>
  <c r="O45" i="3"/>
  <c r="P39" i="3"/>
  <c r="P29" i="3"/>
  <c r="P28" i="3"/>
  <c r="P45" i="3"/>
  <c r="Q39" i="3"/>
  <c r="Q29" i="3"/>
  <c r="Q28" i="3"/>
  <c r="Q45" i="3"/>
  <c r="R38" i="3"/>
  <c r="B39" i="3"/>
  <c r="R39" i="3"/>
  <c r="B29" i="3"/>
  <c r="B28" i="3"/>
  <c r="R28" i="3"/>
  <c r="R45" i="3"/>
  <c r="B45" i="3"/>
  <c r="R44" i="3"/>
  <c r="R43" i="3"/>
  <c r="R42" i="3"/>
  <c r="R41" i="3"/>
  <c r="R40" i="3"/>
  <c r="R37" i="3"/>
  <c r="R36" i="3"/>
  <c r="R35" i="3"/>
  <c r="R34" i="3"/>
  <c r="R33" i="3"/>
  <c r="R32" i="3"/>
  <c r="R31" i="3"/>
  <c r="R30" i="3"/>
  <c r="R29" i="3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R17" i="3"/>
  <c r="R18" i="3"/>
  <c r="R19" i="3"/>
  <c r="R20" i="3"/>
  <c r="R21" i="3"/>
  <c r="R22" i="3"/>
  <c r="R23" i="3"/>
  <c r="B2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B24" i="3"/>
</calcChain>
</file>

<file path=xl/sharedStrings.xml><?xml version="1.0" encoding="utf-8"?>
<sst xmlns="http://schemas.openxmlformats.org/spreadsheetml/2006/main" count="4476" uniqueCount="716">
  <si>
    <t>Run</t>
  </si>
  <si>
    <t>Sample.Characteristic.block.</t>
  </si>
  <si>
    <t>Sample.Characteristic.developmental.stage.</t>
  </si>
  <si>
    <t>Sample.Characteristic.individual.</t>
  </si>
  <si>
    <t>Sample.Characteristic.karyotype.</t>
  </si>
  <si>
    <t>Sample.Characteristic.organism.part.</t>
  </si>
  <si>
    <t>Sample.Characteristic.sampling.site.</t>
  </si>
  <si>
    <t>Analysed</t>
  </si>
  <si>
    <t>pcw_stage</t>
  </si>
  <si>
    <t>ERR1472952</t>
  </si>
  <si>
    <t>sequencing batch:FC2014_038</t>
  </si>
  <si>
    <t>carnegie stage 23</t>
  </si>
  <si>
    <t>46, xx</t>
  </si>
  <si>
    <t>basal ganglion</t>
  </si>
  <si>
    <t>right</t>
  </si>
  <si>
    <t>Yes</t>
  </si>
  <si>
    <t>ERR1472953</t>
  </si>
  <si>
    <t>left</t>
  </si>
  <si>
    <t>ERR1472954</t>
  </si>
  <si>
    <t>ERR1472955</t>
  </si>
  <si>
    <t>sequencing batch:FC2014_030</t>
  </si>
  <si>
    <t>ERR1472956</t>
  </si>
  <si>
    <t>ERR1472957</t>
  </si>
  <si>
    <t>ERR1472958</t>
  </si>
  <si>
    <t>ERR1472959</t>
  </si>
  <si>
    <t>sequencing batch:FC2014_035</t>
  </si>
  <si>
    <t>carnegie stage 22</t>
  </si>
  <si>
    <t>46, xy</t>
  </si>
  <si>
    <t>ERR1472960</t>
  </si>
  <si>
    <t>sequencing batch:FC2014_032</t>
  </si>
  <si>
    <t>ERR1472961</t>
  </si>
  <si>
    <t>sequencing batch:FC2014_043, FC2014_117</t>
  </si>
  <si>
    <t>ERR1472962</t>
  </si>
  <si>
    <t>ERR1472963</t>
  </si>
  <si>
    <t>sequencing batch:FC2014_066</t>
  </si>
  <si>
    <t>ERR1472964</t>
  </si>
  <si>
    <t>ERR1472965</t>
  </si>
  <si>
    <t>sequencing batch:FC2014_075</t>
  </si>
  <si>
    <t>ERR1472966</t>
  </si>
  <si>
    <t>ERR1472967</t>
  </si>
  <si>
    <t>sequencing batch:FC2014_071</t>
  </si>
  <si>
    <t>ERR1472968</t>
  </si>
  <si>
    <t>ERR1472969</t>
  </si>
  <si>
    <t>sequencing batch:FC2014_073</t>
  </si>
  <si>
    <t>ERR1472970</t>
  </si>
  <si>
    <t>ERR1472971</t>
  </si>
  <si>
    <t>sequencing batch:FC2014_054</t>
  </si>
  <si>
    <t>ERR1472972</t>
  </si>
  <si>
    <t>ERR1472973</t>
  </si>
  <si>
    <t>ERR1472974</t>
  </si>
  <si>
    <t>sequencing batch:FC2014_055</t>
  </si>
  <si>
    <t>ERR1472975</t>
  </si>
  <si>
    <t>ERR1472976</t>
  </si>
  <si>
    <t>sequencing batch:FC2014_047</t>
  </si>
  <si>
    <t>ERR1472977</t>
  </si>
  <si>
    <t>ERR1472978</t>
  </si>
  <si>
    <t>sequencing batch:FC2014_044</t>
  </si>
  <si>
    <t>ERR1472979</t>
  </si>
  <si>
    <t>ERR1472980</t>
  </si>
  <si>
    <t>ERR1472981</t>
  </si>
  <si>
    <t>sequencing batch:FC2014_045</t>
  </si>
  <si>
    <t>ERR1472982</t>
  </si>
  <si>
    <t>ERR1472983</t>
  </si>
  <si>
    <t>sequencing batch:FC2014_080</t>
  </si>
  <si>
    <t>ERR1472984</t>
  </si>
  <si>
    <t>ERR1472985</t>
  </si>
  <si>
    <t>sequencing batch:FC2014_081</t>
  </si>
  <si>
    <t>ERR1472986</t>
  </si>
  <si>
    <t>brain fragment</t>
  </si>
  <si>
    <t>ERR1472987</t>
  </si>
  <si>
    <t>ERR1472988</t>
  </si>
  <si>
    <t>ERR1472989</t>
  </si>
  <si>
    <t>ERR1472990</t>
  </si>
  <si>
    <t>ERR1472991</t>
  </si>
  <si>
    <t>ERR1472992</t>
  </si>
  <si>
    <t>ERR1472993</t>
  </si>
  <si>
    <t>sequencing batch:FC2014_037</t>
  </si>
  <si>
    <t>ERR1472994</t>
  </si>
  <si>
    <t>ERR1472995</t>
  </si>
  <si>
    <t>ERR1472996</t>
  </si>
  <si>
    <t>ERR1472997</t>
  </si>
  <si>
    <t>carnegie stage 21</t>
  </si>
  <si>
    <t>ERR1472998</t>
  </si>
  <si>
    <t>ERR1472999</t>
  </si>
  <si>
    <t>carnegie stage 19</t>
  </si>
  <si>
    <t>ERR1473000</t>
  </si>
  <si>
    <t>ERR1473001</t>
  </si>
  <si>
    <t>carnegie stage 18</t>
  </si>
  <si>
    <t>ERR1473002</t>
  </si>
  <si>
    <t>ERR1473003</t>
  </si>
  <si>
    <t>ERR1473004</t>
  </si>
  <si>
    <t>ERR1473005</t>
  </si>
  <si>
    <t>ERR1473006</t>
  </si>
  <si>
    <t>ERR1473007</t>
  </si>
  <si>
    <t>ERR1473008</t>
  </si>
  <si>
    <t>ERR1473009</t>
  </si>
  <si>
    <t>ERR1473010</t>
  </si>
  <si>
    <t>ERR1473011</t>
  </si>
  <si>
    <t>ERR1473012</t>
  </si>
  <si>
    <t>ERR1473013</t>
  </si>
  <si>
    <t>ERR1473014</t>
  </si>
  <si>
    <t>ERR1473015</t>
  </si>
  <si>
    <t>ERR1473016</t>
  </si>
  <si>
    <t>ERR1473017</t>
  </si>
  <si>
    <t>carnegie stage 20</t>
  </si>
  <si>
    <t>ERR1473018</t>
  </si>
  <si>
    <t>ERR1473019</t>
  </si>
  <si>
    <t>ERR1473020</t>
  </si>
  <si>
    <t>ERR1473021</t>
  </si>
  <si>
    <t>ERR1473022</t>
  </si>
  <si>
    <t>ERR1473023</t>
  </si>
  <si>
    <t>ERR1473024</t>
  </si>
  <si>
    <t>sequencing batch:FC2014_048</t>
  </si>
  <si>
    <t>No</t>
  </si>
  <si>
    <t>ERR1473025</t>
  </si>
  <si>
    <t>ERR1473026</t>
  </si>
  <si>
    <t>ERR1473027</t>
  </si>
  <si>
    <t>ERR1473028</t>
  </si>
  <si>
    <t>ERR1473029</t>
  </si>
  <si>
    <t>ERR1473030</t>
  </si>
  <si>
    <t>ERR1473031</t>
  </si>
  <si>
    <t>ERR1473032</t>
  </si>
  <si>
    <t>sequencing batch:FC2014_049</t>
  </si>
  <si>
    <t>ERR1473033</t>
  </si>
  <si>
    <t>ERR1473034</t>
  </si>
  <si>
    <t>ERR1473035</t>
  </si>
  <si>
    <t>ERR1473036</t>
  </si>
  <si>
    <t>ERR1473037</t>
  </si>
  <si>
    <t>ERR1473038</t>
  </si>
  <si>
    <t>ERR1473039</t>
  </si>
  <si>
    <t>ERR1473040</t>
  </si>
  <si>
    <t>ERR1473041</t>
  </si>
  <si>
    <t>ERR1473042</t>
  </si>
  <si>
    <t>ERR1473043</t>
  </si>
  <si>
    <t>ERR1473044</t>
  </si>
  <si>
    <t>ERR1473045</t>
  </si>
  <si>
    <t>carnegie stage 17</t>
  </si>
  <si>
    <t>ERR1473046</t>
  </si>
  <si>
    <t>ERR1473047</t>
  </si>
  <si>
    <t>carnegie stage 16</t>
  </si>
  <si>
    <t>ERR1473048</t>
  </si>
  <si>
    <t>carnegie stage 15</t>
  </si>
  <si>
    <t>ERR1473049</t>
  </si>
  <si>
    <t>ERR1473050</t>
  </si>
  <si>
    <t>sequencing batch:FC2014_050</t>
  </si>
  <si>
    <t>ERR1473051</t>
  </si>
  <si>
    <t>ERR1473052</t>
  </si>
  <si>
    <t>ERR1473053</t>
  </si>
  <si>
    <t>ERR1473054</t>
  </si>
  <si>
    <t>ERR1473055</t>
  </si>
  <si>
    <t>ERR1473056</t>
  </si>
  <si>
    <t>ERR1473057</t>
  </si>
  <si>
    <t>ERR1473058</t>
  </si>
  <si>
    <t>ERR1473059</t>
  </si>
  <si>
    <t>ERR1473060</t>
  </si>
  <si>
    <t>ERR1473061</t>
  </si>
  <si>
    <t>ERR1473062</t>
  </si>
  <si>
    <t>ERR1473063</t>
  </si>
  <si>
    <t>sequencing batch:FC2014_081, FC2014_117</t>
  </si>
  <si>
    <t>ERR1473064</t>
  </si>
  <si>
    <t>ERR1473065</t>
  </si>
  <si>
    <t>sequencing batch:FC2014_053</t>
  </si>
  <si>
    <t>ERR1473066</t>
  </si>
  <si>
    <t>ERR1473067</t>
  </si>
  <si>
    <t>ERR1473068</t>
  </si>
  <si>
    <t>ERR1473069</t>
  </si>
  <si>
    <t>sequencing batch:FC2014_089</t>
  </si>
  <si>
    <t>ERR1473070</t>
  </si>
  <si>
    <t>sequencing batch:FC2014_065</t>
  </si>
  <si>
    <t>ERR1473071</t>
  </si>
  <si>
    <t>ERR1473072</t>
  </si>
  <si>
    <t>ERR1473073</t>
  </si>
  <si>
    <t>ERR1473074</t>
  </si>
  <si>
    <t>unknown</t>
  </si>
  <si>
    <t>ERR1473075</t>
  </si>
  <si>
    <t>ERR1473076</t>
  </si>
  <si>
    <t>ERR1473077</t>
  </si>
  <si>
    <t>sequencing batch:FC2014_058, FC2014_117</t>
  </si>
  <si>
    <t>ERR1473078</t>
  </si>
  <si>
    <t>ERR1473079</t>
  </si>
  <si>
    <t>sequencing batch:FC2014_058</t>
  </si>
  <si>
    <t>ERR1473080</t>
  </si>
  <si>
    <t>ERR1473081</t>
  </si>
  <si>
    <t>ERR1473082</t>
  </si>
  <si>
    <t>ERR1473083</t>
  </si>
  <si>
    <t>ERR1473084</t>
  </si>
  <si>
    <t>ERR1473085</t>
  </si>
  <si>
    <t>ERR1473086</t>
  </si>
  <si>
    <t>cerebellum</t>
  </si>
  <si>
    <t>ERR1473087</t>
  </si>
  <si>
    <t>ERR1473088</t>
  </si>
  <si>
    <t>ERR1473089</t>
  </si>
  <si>
    <t>ERR1473090</t>
  </si>
  <si>
    <t>ERR1473091</t>
  </si>
  <si>
    <t>ERR1473092</t>
  </si>
  <si>
    <t>ERR1473093</t>
  </si>
  <si>
    <t>ERR1473094</t>
  </si>
  <si>
    <t>ERR1473095</t>
  </si>
  <si>
    <t>ERR1473096</t>
  </si>
  <si>
    <t>ERR1473097</t>
  </si>
  <si>
    <t>ERR1473098</t>
  </si>
  <si>
    <t>ERR1473099</t>
  </si>
  <si>
    <t>ERR1473100</t>
  </si>
  <si>
    <t>ERR1473101</t>
  </si>
  <si>
    <t>ERR1473102</t>
  </si>
  <si>
    <t>ERR1473103</t>
  </si>
  <si>
    <t>ERR1473104</t>
  </si>
  <si>
    <t>ERR1473105</t>
  </si>
  <si>
    <t>ERR1473106</t>
  </si>
  <si>
    <t>ERR1473107</t>
  </si>
  <si>
    <t>ERR1473108</t>
  </si>
  <si>
    <t>ERR1473109</t>
  </si>
  <si>
    <t>ERR1473110</t>
  </si>
  <si>
    <t>ERR1473111</t>
  </si>
  <si>
    <t>ERR1473112</t>
  </si>
  <si>
    <t>ERR1473113</t>
  </si>
  <si>
    <t>ERR1473114</t>
  </si>
  <si>
    <t>ERR1473115</t>
  </si>
  <si>
    <t>ERR1473116</t>
  </si>
  <si>
    <t>ERR1473117</t>
  </si>
  <si>
    <t>ERR1473118</t>
  </si>
  <si>
    <t>ERR1473119</t>
  </si>
  <si>
    <t>ERR1473120</t>
  </si>
  <si>
    <t>ERR1473121</t>
  </si>
  <si>
    <t>ERR1473151</t>
  </si>
  <si>
    <t>cerebral cortex</t>
  </si>
  <si>
    <t>ERR1473152</t>
  </si>
  <si>
    <t>ERR1473153</t>
  </si>
  <si>
    <t>ERR1473154</t>
  </si>
  <si>
    <t>ERR1473155</t>
  </si>
  <si>
    <t>ERR1473156</t>
  </si>
  <si>
    <t>ERR1473157</t>
  </si>
  <si>
    <t>ERR1473158</t>
  </si>
  <si>
    <t>ERR1473159</t>
  </si>
  <si>
    <t>ERR1473160</t>
  </si>
  <si>
    <t>ERR1473161</t>
  </si>
  <si>
    <t>ERR1473162</t>
  </si>
  <si>
    <t>sequencing batch:FC2014_043</t>
  </si>
  <si>
    <t>ERR1473163</t>
  </si>
  <si>
    <t>ERR1473164</t>
  </si>
  <si>
    <t>ERR1473165</t>
  </si>
  <si>
    <t>ERR1473166</t>
  </si>
  <si>
    <t>ERR1473167</t>
  </si>
  <si>
    <t>ERR1473168</t>
  </si>
  <si>
    <t>ERR1473169</t>
  </si>
  <si>
    <t>sequencing batch:FC2014_150</t>
  </si>
  <si>
    <t>ERR1473170</t>
  </si>
  <si>
    <t>ERR1473171</t>
  </si>
  <si>
    <t>ERR1473172</t>
  </si>
  <si>
    <t>sequencing batch:FC2014_054, FC2014_117</t>
  </si>
  <si>
    <t>ERR1473173</t>
  </si>
  <si>
    <t>ERR1473174</t>
  </si>
  <si>
    <t>ERR1473175</t>
  </si>
  <si>
    <t>ERR1473176</t>
  </si>
  <si>
    <t>ERR1473177</t>
  </si>
  <si>
    <t>ERR1473178</t>
  </si>
  <si>
    <t>ERR1473179</t>
  </si>
  <si>
    <t>ERR1473180</t>
  </si>
  <si>
    <t>ERR1473181</t>
  </si>
  <si>
    <t>ERR1473182</t>
  </si>
  <si>
    <t>ERR1473183</t>
  </si>
  <si>
    <t>ERR1473184</t>
  </si>
  <si>
    <t>ERR1473185</t>
  </si>
  <si>
    <t>ERR1473186</t>
  </si>
  <si>
    <t>sequencing batch:FC2014_040</t>
  </si>
  <si>
    <t>ERR1473187</t>
  </si>
  <si>
    <t>ERR1473188</t>
  </si>
  <si>
    <t>ERR1473189</t>
  </si>
  <si>
    <t>ERR1473190</t>
  </si>
  <si>
    <t>ERR1473191</t>
  </si>
  <si>
    <t>ERR1473192</t>
  </si>
  <si>
    <t>ERR1473193</t>
  </si>
  <si>
    <t>ERR1473194</t>
  </si>
  <si>
    <t>ERR1473195</t>
  </si>
  <si>
    <t>ERR1473196</t>
  </si>
  <si>
    <t>ERR1473197</t>
  </si>
  <si>
    <t>ERR1473198</t>
  </si>
  <si>
    <t>ERR1473199</t>
  </si>
  <si>
    <t>ERR1473200</t>
  </si>
  <si>
    <t>ERR1473201</t>
  </si>
  <si>
    <t>ERR1473202</t>
  </si>
  <si>
    <t>ERR1473203</t>
  </si>
  <si>
    <t>ERR1473204</t>
  </si>
  <si>
    <t>ERR1473205</t>
  </si>
  <si>
    <t>ERR1473206</t>
  </si>
  <si>
    <t>ERR1473207</t>
  </si>
  <si>
    <t>ERR1473208</t>
  </si>
  <si>
    <t>ERR1473209</t>
  </si>
  <si>
    <t>ERR1473210</t>
  </si>
  <si>
    <t>ERR1473211</t>
  </si>
  <si>
    <t>ERR1473212</t>
  </si>
  <si>
    <t>ERR1473213</t>
  </si>
  <si>
    <t>ERR1473214</t>
  </si>
  <si>
    <t>ERR1473215</t>
  </si>
  <si>
    <t>ERR1473216</t>
  </si>
  <si>
    <t>ERR1473217</t>
  </si>
  <si>
    <t>ERR1473218</t>
  </si>
  <si>
    <t>ERR1473219</t>
  </si>
  <si>
    <t>ERR1473220</t>
  </si>
  <si>
    <t>ERR1473221</t>
  </si>
  <si>
    <t>ERR1473222</t>
  </si>
  <si>
    <t>ERR1473223</t>
  </si>
  <si>
    <t>ERR1473224</t>
  </si>
  <si>
    <t>ERR1473225</t>
  </si>
  <si>
    <t>ERR1473226</t>
  </si>
  <si>
    <t>ERR1473227</t>
  </si>
  <si>
    <t>ERR1473228</t>
  </si>
  <si>
    <t>ERR1473229</t>
  </si>
  <si>
    <t>ERR1473230</t>
  </si>
  <si>
    <t>ERR1473231</t>
  </si>
  <si>
    <t>ERR1473232</t>
  </si>
  <si>
    <t>ERR1473233</t>
  </si>
  <si>
    <t>ERR1473234</t>
  </si>
  <si>
    <t>ERR1473235</t>
  </si>
  <si>
    <t>ERR1473236</t>
  </si>
  <si>
    <t>ERR1473237</t>
  </si>
  <si>
    <t>ERR1473238</t>
  </si>
  <si>
    <t>ERR1473239</t>
  </si>
  <si>
    <t>ERR1473240</t>
  </si>
  <si>
    <t>ERR1473241</t>
  </si>
  <si>
    <t>ERR1473242</t>
  </si>
  <si>
    <t>ERR1473243</t>
  </si>
  <si>
    <t>ERR1473244</t>
  </si>
  <si>
    <t>ERR1473245</t>
  </si>
  <si>
    <t>ERR1473246</t>
  </si>
  <si>
    <t>ERR1473247</t>
  </si>
  <si>
    <t>ERR1473248</t>
  </si>
  <si>
    <t>ERR1473249</t>
  </si>
  <si>
    <t>ERR1473250</t>
  </si>
  <si>
    <t>ERR1473251</t>
  </si>
  <si>
    <t>ERR1473252</t>
  </si>
  <si>
    <t>ERR1473253</t>
  </si>
  <si>
    <t>ERR1473254</t>
  </si>
  <si>
    <t>ERR1473255</t>
  </si>
  <si>
    <t>ERR1473256</t>
  </si>
  <si>
    <t>ERR1473257</t>
  </si>
  <si>
    <t>ERR1473258</t>
  </si>
  <si>
    <t>ERR1473259</t>
  </si>
  <si>
    <t>sequencing batch:FC2014_069</t>
  </si>
  <si>
    <t>ERR1473260</t>
  </si>
  <si>
    <t>ERR1473261</t>
  </si>
  <si>
    <t>ERR1473262</t>
  </si>
  <si>
    <t>ERR1473263</t>
  </si>
  <si>
    <t>ERR1473264</t>
  </si>
  <si>
    <t>ERR1473265</t>
  </si>
  <si>
    <t>sequencing batch:FC2014_044, FC2014_117</t>
  </si>
  <si>
    <t>ERR1473266</t>
  </si>
  <si>
    <t>ERR1473267</t>
  </si>
  <si>
    <t>ERR1473268</t>
  </si>
  <si>
    <t>ERR1473269</t>
  </si>
  <si>
    <t>ERR1473270</t>
  </si>
  <si>
    <t>ERR1473271</t>
  </si>
  <si>
    <t>ERR1473272</t>
  </si>
  <si>
    <t>ERR1473273</t>
  </si>
  <si>
    <t>ERR1473274</t>
  </si>
  <si>
    <t>ERR1473275</t>
  </si>
  <si>
    <t>diencephalon</t>
  </si>
  <si>
    <t>ERR1473276</t>
  </si>
  <si>
    <t>ERR1473277</t>
  </si>
  <si>
    <t>sequencing batch:FC2014_038, FC2014_117</t>
  </si>
  <si>
    <t>ERR1473278</t>
  </si>
  <si>
    <t>ERR1473279</t>
  </si>
  <si>
    <t>ERR1473280</t>
  </si>
  <si>
    <t>ERR1473281</t>
  </si>
  <si>
    <t>ERR1473282</t>
  </si>
  <si>
    <t>sequencing batch:FC2014_032, FC2014_117</t>
  </si>
  <si>
    <t>ERR1473283</t>
  </si>
  <si>
    <t>ERR1473284</t>
  </si>
  <si>
    <t>ERR1473285</t>
  </si>
  <si>
    <t>ERR1473286</t>
  </si>
  <si>
    <t>sequencing batch:FC2014_030, FC2014_117</t>
  </si>
  <si>
    <t>ERR1473287</t>
  </si>
  <si>
    <t>ERR1473288</t>
  </si>
  <si>
    <t>sequencing batch:FC2014_030, FC2014_151</t>
  </si>
  <si>
    <t>ERR1473289</t>
  </si>
  <si>
    <t>ERR1473290</t>
  </si>
  <si>
    <t>ERR1473291</t>
  </si>
  <si>
    <t>sequencing batch:FC2014_035, FC2014_117</t>
  </si>
  <si>
    <t>ERR1473292</t>
  </si>
  <si>
    <t>ERR1473293</t>
  </si>
  <si>
    <t>ERR1473294</t>
  </si>
  <si>
    <t>ERR1473295</t>
  </si>
  <si>
    <t>ERR1473296</t>
  </si>
  <si>
    <t>ERR1473297</t>
  </si>
  <si>
    <t>ERR1473298</t>
  </si>
  <si>
    <t>ERR1473299</t>
  </si>
  <si>
    <t>ERR1473300</t>
  </si>
  <si>
    <t>sequencing batch:FC2014_065, FC2014_117</t>
  </si>
  <si>
    <t>ERR1473301</t>
  </si>
  <si>
    <t>ERR1473302</t>
  </si>
  <si>
    <t>ERR1473303</t>
  </si>
  <si>
    <t>ERR1473304</t>
  </si>
  <si>
    <t>ERR1473305</t>
  </si>
  <si>
    <t>ERR1473306</t>
  </si>
  <si>
    <t>ERR1473307</t>
  </si>
  <si>
    <t>ERR1473308</t>
  </si>
  <si>
    <t>sequencing batch:FC2014_055, FC2014_117</t>
  </si>
  <si>
    <t>ERR1473309</t>
  </si>
  <si>
    <t>ERR1473310</t>
  </si>
  <si>
    <t>ERR1473311</t>
  </si>
  <si>
    <t>ERR1473312</t>
  </si>
  <si>
    <t>ERR1473313</t>
  </si>
  <si>
    <t>ERR1473314</t>
  </si>
  <si>
    <t>ERR1473315</t>
  </si>
  <si>
    <t>ERR1473316</t>
  </si>
  <si>
    <t>ERR1473317</t>
  </si>
  <si>
    <t>ERR1473318</t>
  </si>
  <si>
    <t>ERR1473319</t>
  </si>
  <si>
    <t>ERR1473320</t>
  </si>
  <si>
    <t>ERR1473321</t>
  </si>
  <si>
    <t>ERR1473322</t>
  </si>
  <si>
    <t>ERR1473323</t>
  </si>
  <si>
    <t>ERR1473324</t>
  </si>
  <si>
    <t>ERR1473325</t>
  </si>
  <si>
    <t>diencephalon and midbrain</t>
  </si>
  <si>
    <t>ERR1473326</t>
  </si>
  <si>
    <t>forebrain</t>
  </si>
  <si>
    <t>ERR1473327</t>
  </si>
  <si>
    <t>ERR1473328</t>
  </si>
  <si>
    <t>ERR1473329</t>
  </si>
  <si>
    <t>ERR1473330</t>
  </si>
  <si>
    <t>ERR1473331</t>
  </si>
  <si>
    <t>ERR1473332</t>
  </si>
  <si>
    <t>carnegie stage 14</t>
  </si>
  <si>
    <t>ERR1473333</t>
  </si>
  <si>
    <t>ERR1473334</t>
  </si>
  <si>
    <t>carnegie stage 13</t>
  </si>
  <si>
    <t>ERR1473335</t>
  </si>
  <si>
    <t>ERR1473336</t>
  </si>
  <si>
    <t>ERR1473337</t>
  </si>
  <si>
    <t>ERR1473338</t>
  </si>
  <si>
    <t>ERR1473339</t>
  </si>
  <si>
    <t>ERR1473340</t>
  </si>
  <si>
    <t>ERR1473341</t>
  </si>
  <si>
    <t>ERR1473342</t>
  </si>
  <si>
    <t>ERR1473343</t>
  </si>
  <si>
    <t>ERR1473344</t>
  </si>
  <si>
    <t>ERR1473345</t>
  </si>
  <si>
    <t>ERR1473346</t>
  </si>
  <si>
    <t>forebrain and midbrain</t>
  </si>
  <si>
    <t>ERR1473347</t>
  </si>
  <si>
    <t>forebrain fragment</t>
  </si>
  <si>
    <t>ERR1473348</t>
  </si>
  <si>
    <t>ERR1473349</t>
  </si>
  <si>
    <t>ERR1473350</t>
  </si>
  <si>
    <t>ERR1473351</t>
  </si>
  <si>
    <t>ERR1473352</t>
  </si>
  <si>
    <t>frontal</t>
  </si>
  <si>
    <t>ERR1473353</t>
  </si>
  <si>
    <t>hindbrain</t>
  </si>
  <si>
    <t>ERR1473354</t>
  </si>
  <si>
    <t>ERR1473355</t>
  </si>
  <si>
    <t>ERR1473356</t>
  </si>
  <si>
    <t>ERR1473357</t>
  </si>
  <si>
    <t>ERR1473358</t>
  </si>
  <si>
    <t>ERR1473359</t>
  </si>
  <si>
    <t>ERR1473360</t>
  </si>
  <si>
    <t>ERR1473361</t>
  </si>
  <si>
    <t>ERR1473362</t>
  </si>
  <si>
    <t>ERR1473363</t>
  </si>
  <si>
    <t>ERR1473364</t>
  </si>
  <si>
    <t>ERR1473365</t>
  </si>
  <si>
    <t>ERR1473366</t>
  </si>
  <si>
    <t>ERR1473367</t>
  </si>
  <si>
    <t>ERR1473368</t>
  </si>
  <si>
    <t>ERR1473369</t>
  </si>
  <si>
    <t>ERR1473370</t>
  </si>
  <si>
    <t>ERR1473371</t>
  </si>
  <si>
    <t>ERR1473372</t>
  </si>
  <si>
    <t>ERR1473373</t>
  </si>
  <si>
    <t>ERR1473374</t>
  </si>
  <si>
    <t>ERR1473375</t>
  </si>
  <si>
    <t>ERR1473376</t>
  </si>
  <si>
    <t>ERR1473377</t>
  </si>
  <si>
    <t>ERR1473378</t>
  </si>
  <si>
    <t>ERR1473379</t>
  </si>
  <si>
    <t>ERR1473380</t>
  </si>
  <si>
    <t>ERR1473381</t>
  </si>
  <si>
    <t>ERR1473382</t>
  </si>
  <si>
    <t>ERR1473383</t>
  </si>
  <si>
    <t>ERR1473384</t>
  </si>
  <si>
    <t>ERR1473385</t>
  </si>
  <si>
    <t>hindbrain fragment</t>
  </si>
  <si>
    <t>ERR1473386</t>
  </si>
  <si>
    <t>hindbrain without cerebellum</t>
  </si>
  <si>
    <t>ERR1473387</t>
  </si>
  <si>
    <t>ERR1473388</t>
  </si>
  <si>
    <t>ERR1473389</t>
  </si>
  <si>
    <t>hippocampus</t>
  </si>
  <si>
    <t>ERR1473390</t>
  </si>
  <si>
    <t>ERR1473391</t>
  </si>
  <si>
    <t>medulla oblongata</t>
  </si>
  <si>
    <t>ERR1473392</t>
  </si>
  <si>
    <t>ERR1473393</t>
  </si>
  <si>
    <t>ERR1473394</t>
  </si>
  <si>
    <t>ERR1473395</t>
  </si>
  <si>
    <t>ERR1473396</t>
  </si>
  <si>
    <t>ERR1473397</t>
  </si>
  <si>
    <t>ERR1473398</t>
  </si>
  <si>
    <t>ERR1473399</t>
  </si>
  <si>
    <t>ERR1473400</t>
  </si>
  <si>
    <t>ERR1473401</t>
  </si>
  <si>
    <t>ERR1473402</t>
  </si>
  <si>
    <t>ERR1473403</t>
  </si>
  <si>
    <t>ERR1473404</t>
  </si>
  <si>
    <t>ERR1473405</t>
  </si>
  <si>
    <t>ERR1473406</t>
  </si>
  <si>
    <t>ERR1473407</t>
  </si>
  <si>
    <t>ERR1473408</t>
  </si>
  <si>
    <t>ERR1473409</t>
  </si>
  <si>
    <t>ERR1473410</t>
  </si>
  <si>
    <t>sequencing batch:FC2014_058. FC2014_117</t>
  </si>
  <si>
    <t>ERR1473411</t>
  </si>
  <si>
    <t>ERR1473412</t>
  </si>
  <si>
    <t>ERR1473413</t>
  </si>
  <si>
    <t>ERR1473414</t>
  </si>
  <si>
    <t>ERR1473415</t>
  </si>
  <si>
    <t>ERR1473416</t>
  </si>
  <si>
    <t>ERR1473417</t>
  </si>
  <si>
    <t>midbrain</t>
  </si>
  <si>
    <t>ERR1473418</t>
  </si>
  <si>
    <t>ERR1473419</t>
  </si>
  <si>
    <t>ERR1473420</t>
  </si>
  <si>
    <t>ERR1473421</t>
  </si>
  <si>
    <t>ERR1473422</t>
  </si>
  <si>
    <t>ERR1473423</t>
  </si>
  <si>
    <t>ERR1473424</t>
  </si>
  <si>
    <t>ERR1473425</t>
  </si>
  <si>
    <t>ERR1473426</t>
  </si>
  <si>
    <t>ERR1473427</t>
  </si>
  <si>
    <t>ERR1473428</t>
  </si>
  <si>
    <t>ERR1473429</t>
  </si>
  <si>
    <t>ERR1473430</t>
  </si>
  <si>
    <t>ERR1473431</t>
  </si>
  <si>
    <t>ERR1473432</t>
  </si>
  <si>
    <t>ERR1473433</t>
  </si>
  <si>
    <t>ERR1473434</t>
  </si>
  <si>
    <t>ERR1473435</t>
  </si>
  <si>
    <t>ERR1473436</t>
  </si>
  <si>
    <t>ERR1473437</t>
  </si>
  <si>
    <t>ERR1473438</t>
  </si>
  <si>
    <t>ERR1473439</t>
  </si>
  <si>
    <t>ERR1473440</t>
  </si>
  <si>
    <t>ERR1473441</t>
  </si>
  <si>
    <t>ERR1473442</t>
  </si>
  <si>
    <t>ERR1473443</t>
  </si>
  <si>
    <t>ERR1473444</t>
  </si>
  <si>
    <t>ERR1473445</t>
  </si>
  <si>
    <t>ERR1473446</t>
  </si>
  <si>
    <t>ERR1473447</t>
  </si>
  <si>
    <t>ERR1473448</t>
  </si>
  <si>
    <t>ERR1473449</t>
  </si>
  <si>
    <t>ERR1473450</t>
  </si>
  <si>
    <t>ERR1473451</t>
  </si>
  <si>
    <t>ERR1473452</t>
  </si>
  <si>
    <t>ERR1473453</t>
  </si>
  <si>
    <t>ERR1473454</t>
  </si>
  <si>
    <t>ERR1473455</t>
  </si>
  <si>
    <t>ERR1473456</t>
  </si>
  <si>
    <t>ERR1473457</t>
  </si>
  <si>
    <t>ERR1473458</t>
  </si>
  <si>
    <t>ERR1473459</t>
  </si>
  <si>
    <t>ERR1473460</t>
  </si>
  <si>
    <t>ERR1473461</t>
  </si>
  <si>
    <t>ERR1473462</t>
  </si>
  <si>
    <t>ERR1473463</t>
  </si>
  <si>
    <t>ERR1473464</t>
  </si>
  <si>
    <t>ERR1473465</t>
  </si>
  <si>
    <t>ERR1473466</t>
  </si>
  <si>
    <t>ERR1473467</t>
  </si>
  <si>
    <t>ERR1473468</t>
  </si>
  <si>
    <t>ERR1473469</t>
  </si>
  <si>
    <t>ERR1473470</t>
  </si>
  <si>
    <t>ERR1473471</t>
  </si>
  <si>
    <t>ERR1473472</t>
  </si>
  <si>
    <t>ERR1473473</t>
  </si>
  <si>
    <t>pituitary and diencephalon</t>
  </si>
  <si>
    <t>ERR1473474</t>
  </si>
  <si>
    <t>ERR1473475</t>
  </si>
  <si>
    <t>pons</t>
  </si>
  <si>
    <t>ERR1473476</t>
  </si>
  <si>
    <t>ERR1473520</t>
  </si>
  <si>
    <t>telencephalon</t>
  </si>
  <si>
    <t>ERR1473521</t>
  </si>
  <si>
    <t>ERR1473522</t>
  </si>
  <si>
    <t>ERR1473523</t>
  </si>
  <si>
    <t>ERR1473524</t>
  </si>
  <si>
    <t>ERR1473525</t>
  </si>
  <si>
    <t>ERR1473526</t>
  </si>
  <si>
    <t>ERR1473527</t>
  </si>
  <si>
    <t>ERR1473528</t>
  </si>
  <si>
    <t>ERR1473529</t>
  </si>
  <si>
    <t>ERR1473530</t>
  </si>
  <si>
    <t>ERR1473531</t>
  </si>
  <si>
    <t>ERR1473532</t>
  </si>
  <si>
    <t>ERR1473533</t>
  </si>
  <si>
    <t>ERR1473534</t>
  </si>
  <si>
    <t>ERR1473535</t>
  </si>
  <si>
    <t>ERR1473536</t>
  </si>
  <si>
    <t>ERR1473537</t>
  </si>
  <si>
    <t>ERR1473538</t>
  </si>
  <si>
    <t>sequencing batch:FC2014_066, FC2014_117</t>
  </si>
  <si>
    <t>ERR1473539</t>
  </si>
  <si>
    <t>ERR1473540</t>
  </si>
  <si>
    <t>ERR1473541</t>
  </si>
  <si>
    <t>ERR1473542</t>
  </si>
  <si>
    <t>ERR1473543</t>
  </si>
  <si>
    <t>ERR1473544</t>
  </si>
  <si>
    <t>ERR1473545</t>
  </si>
  <si>
    <t>ERR1473546</t>
  </si>
  <si>
    <t>ERR1473547</t>
  </si>
  <si>
    <t>ERR1473548</t>
  </si>
  <si>
    <t>ERR1473549</t>
  </si>
  <si>
    <t>ERR1473550</t>
  </si>
  <si>
    <t>ERR1473551</t>
  </si>
  <si>
    <t>ERR1473552</t>
  </si>
  <si>
    <t>ERR1473553</t>
  </si>
  <si>
    <t>ERR1473554</t>
  </si>
  <si>
    <t>ERR1473555</t>
  </si>
  <si>
    <t>ERR1473556</t>
  </si>
  <si>
    <t>ERR1473557</t>
  </si>
  <si>
    <t>ERR1473558</t>
  </si>
  <si>
    <t>ERR1473559</t>
  </si>
  <si>
    <t>ERR1473560</t>
  </si>
  <si>
    <t>ERR1473561</t>
  </si>
  <si>
    <t>temporal lobe</t>
  </si>
  <si>
    <t>ERR1473562</t>
  </si>
  <si>
    <t>sequencing batch:FC2014_054, FC2014_151</t>
  </si>
  <si>
    <t>ERR1473563</t>
  </si>
  <si>
    <t>ERR1473564</t>
  </si>
  <si>
    <t>ERR1473565</t>
  </si>
  <si>
    <t>ERR1473566</t>
  </si>
  <si>
    <t>ERR1473567</t>
  </si>
  <si>
    <t>ERR1473568</t>
  </si>
  <si>
    <t>ERR1473569</t>
  </si>
  <si>
    <t>ERR1473570</t>
  </si>
  <si>
    <t>ERR1473571</t>
  </si>
  <si>
    <t>ERR1473572</t>
  </si>
  <si>
    <t>ERR1473573</t>
  </si>
  <si>
    <t>ERR1473574</t>
  </si>
  <si>
    <t>ERR1473575</t>
  </si>
  <si>
    <t>ERR1473576</t>
  </si>
  <si>
    <t>ERR1473577</t>
  </si>
  <si>
    <t>ERR1473578</t>
  </si>
  <si>
    <t>ERR1473579</t>
  </si>
  <si>
    <t>ERR1473580</t>
  </si>
  <si>
    <t>ERR1473581</t>
  </si>
  <si>
    <t>ERR1473582</t>
  </si>
  <si>
    <t>ERR1473583</t>
  </si>
  <si>
    <t>ERR1473584</t>
  </si>
  <si>
    <t>ERR1473585</t>
  </si>
  <si>
    <t>ERR1473586</t>
  </si>
  <si>
    <t>ERR1473587</t>
  </si>
  <si>
    <t>ERR1473588</t>
  </si>
  <si>
    <t>ERR1473589</t>
  </si>
  <si>
    <t>ERR1473590</t>
  </si>
  <si>
    <t>ERR1473591</t>
  </si>
  <si>
    <t>ERR1473592</t>
  </si>
  <si>
    <t>ERR1473593</t>
  </si>
  <si>
    <t>ERR1473594</t>
  </si>
  <si>
    <t>ERR1473595</t>
  </si>
  <si>
    <t>ERR1473596</t>
  </si>
  <si>
    <t>ERR1473597</t>
  </si>
  <si>
    <t>ERR1473598</t>
  </si>
  <si>
    <t>ERR1473599</t>
  </si>
  <si>
    <t>ERR1473600</t>
  </si>
  <si>
    <t>ERR1473601</t>
  </si>
  <si>
    <t>Row Labels</t>
  </si>
  <si>
    <t>Grand Total</t>
  </si>
  <si>
    <t>Count of Run</t>
  </si>
  <si>
    <t>Column Labels</t>
  </si>
  <si>
    <t>8 pcw</t>
  </si>
  <si>
    <t>9 pcw</t>
  </si>
  <si>
    <t>late 8 pcw</t>
  </si>
  <si>
    <t>16 pcw</t>
  </si>
  <si>
    <t>13 pcw</t>
  </si>
  <si>
    <t>11 pcw</t>
  </si>
  <si>
    <t>10 pcw</t>
  </si>
  <si>
    <t>17 pcw</t>
  </si>
  <si>
    <t>12 pcw</t>
  </si>
  <si>
    <t>7 pcw</t>
  </si>
  <si>
    <t>14 pcw</t>
  </si>
  <si>
    <t>19 pcw</t>
  </si>
  <si>
    <t>6 pcw</t>
  </si>
  <si>
    <t>5 pcw</t>
  </si>
  <si>
    <t>20 pcw</t>
  </si>
  <si>
    <t>15 pcw</t>
  </si>
  <si>
    <t>4 pcw</t>
  </si>
  <si>
    <t>(All)</t>
  </si>
  <si>
    <t>Hindbrain</t>
  </si>
  <si>
    <t>Forebrain</t>
  </si>
  <si>
    <t xml:space="preserve">   Telencephalon</t>
  </si>
  <si>
    <t xml:space="preserve">      cerebral cortex</t>
  </si>
  <si>
    <t xml:space="preserve">      temporal lobe</t>
  </si>
  <si>
    <t xml:space="preserve">         hippocampus</t>
  </si>
  <si>
    <t xml:space="preserve">      basal ganglion</t>
  </si>
  <si>
    <t xml:space="preserve">      whole telencephalon</t>
  </si>
  <si>
    <t xml:space="preserve">   Diencephalon</t>
  </si>
  <si>
    <t xml:space="preserve">   Diencephalon and midbrain</t>
  </si>
  <si>
    <t xml:space="preserve">   Diencephalon and pituitary</t>
  </si>
  <si>
    <t xml:space="preserve">   Whole forebrain</t>
  </si>
  <si>
    <t xml:space="preserve">   Forebrain and midbrain</t>
  </si>
  <si>
    <t xml:space="preserve">   Forebrain fragment</t>
  </si>
  <si>
    <t>Midbrain</t>
  </si>
  <si>
    <t xml:space="preserve">   cerebellum</t>
  </si>
  <si>
    <t xml:space="preserve">   pons</t>
  </si>
  <si>
    <t xml:space="preserve">   medulla oblongata</t>
  </si>
  <si>
    <t xml:space="preserve">   whole hindbrain</t>
  </si>
  <si>
    <t xml:space="preserve">   whole hindbrain without cerebellum</t>
  </si>
  <si>
    <t xml:space="preserve">   hindbrain fragment</t>
  </si>
  <si>
    <t>Brain fragment</t>
  </si>
  <si>
    <t>PCW</t>
  </si>
  <si>
    <t>Total</t>
  </si>
  <si>
    <t xml:space="preserve"> Forebrain</t>
  </si>
  <si>
    <t xml:space="preserve"> Midbrain</t>
  </si>
  <si>
    <t xml:space="preserve"> Hindbrain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</si>
</sst>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sz val="12"/>
      <color rgb="FFFF0000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4"/>
      <color theme="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9.9978637043366805E-2"/>
        <bgColor theme="4" tint="0.79998168889431442"/>
      </patternFill>
    </fill>
    <fill>
      <patternFill patternType="solid">
        <fgColor theme="3" tint="9.9978637043366805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2">
    <xf numFmtId="0" fontId="0" fillId="0" borderId="0" xfId="0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/>
    <xf numFmtId="0" fontId="18" fillId="33" borderId="0" xfId="0" applyFont="1" applyFill="1"/>
    <xf numFmtId="0" fontId="0" fillId="33" borderId="0" xfId="0" applyFill="1"/>
    <xf numFmtId="0" fontId="18" fillId="34" borderId="0" xfId="0" applyFont="1" applyFill="1"/>
    <xf numFmtId="0" fontId="0" fillId="34" borderId="0" xfId="0" applyFill="1"/>
    <xf numFmtId="0" fontId="18" fillId="34" borderId="0" xfId="0" applyFont="1" applyFill="1" applyAlignment="1">
      <alignment horizontal="left"/>
    </xf>
    <xf numFmtId="0" fontId="18" fillId="35" borderId="0" xfId="0" applyFont="1" applyFill="1" applyAlignment="1">
      <alignment horizontal="left"/>
    </xf>
    <xf numFmtId="0" fontId="0" fillId="35" borderId="0" xfId="0" applyFill="1"/>
    <xf numFmtId="0" fontId="18" fillId="35" borderId="0" xfId="0" applyFont="1" applyFill="1"/>
    <xf numFmtId="0" fontId="18" fillId="33" borderId="0" xfId="0" applyFont="1" applyFill="1" applyAlignment="1">
      <alignment horizontal="left"/>
    </xf>
    <xf numFmtId="0" fontId="18" fillId="36" borderId="0" xfId="0" applyFont="1" applyFill="1" applyAlignment="1">
      <alignment horizontal="left"/>
    </xf>
    <xf numFmtId="0" fontId="0" fillId="36" borderId="0" xfId="0" applyFill="1"/>
    <xf numFmtId="0" fontId="18" fillId="36" borderId="0" xfId="0" applyFont="1" applyFill="1"/>
    <xf numFmtId="0" fontId="18" fillId="0" borderId="0" xfId="0" applyFont="1" applyAlignment="1">
      <alignment vertical="center"/>
    </xf>
    <xf numFmtId="0" fontId="18" fillId="33" borderId="0" xfId="0" applyFont="1" applyFill="1" applyAlignment="1">
      <alignment horizontal="right"/>
    </xf>
    <xf numFmtId="0" fontId="18" fillId="34" borderId="0" xfId="0" applyFont="1" applyFill="1" applyAlignment="1">
      <alignment horizontal="right"/>
    </xf>
    <xf numFmtId="0" fontId="18" fillId="35" borderId="0" xfId="0" applyNumberFormat="1" applyFont="1" applyFill="1" applyAlignment="1">
      <alignment horizontal="right"/>
    </xf>
    <xf numFmtId="0" fontId="18" fillId="36" borderId="0" xfId="0" applyNumberFormat="1" applyFont="1" applyFill="1" applyAlignment="1">
      <alignment horizontal="right"/>
    </xf>
    <xf numFmtId="0" fontId="18" fillId="34" borderId="0" xfId="0" applyNumberFormat="1" applyFont="1" applyFill="1" applyAlignment="1">
      <alignment horizontal="right"/>
    </xf>
    <xf numFmtId="0" fontId="18" fillId="33" borderId="0" xfId="0" applyNumberFormat="1" applyFont="1" applyFill="1" applyAlignment="1">
      <alignment horizontal="right"/>
    </xf>
    <xf numFmtId="0" fontId="18" fillId="0" borderId="0" xfId="0" applyFont="1" applyAlignment="1">
      <alignment horizontal="right"/>
    </xf>
    <xf numFmtId="0" fontId="19" fillId="37" borderId="10" xfId="0" applyFont="1" applyFill="1" applyBorder="1" applyAlignment="1">
      <alignment horizontal="center" vertical="center"/>
    </xf>
    <xf numFmtId="0" fontId="19" fillId="37" borderId="10" xfId="0" applyFont="1" applyFill="1" applyBorder="1" applyAlignment="1">
      <alignment horizontal="right" vertical="center"/>
    </xf>
    <xf numFmtId="0" fontId="17" fillId="38" borderId="0" xfId="0" applyFont="1" applyFill="1" applyAlignment="1">
      <alignment horizontal="center" vertical="center"/>
    </xf>
    <xf numFmtId="0" fontId="20" fillId="38" borderId="0" xfId="0" applyFont="1" applyFill="1" applyAlignment="1">
      <alignment horizontal="center" vertical="center"/>
    </xf>
    <xf numFmtId="0" fontId="19" fillId="37" borderId="11" xfId="0" applyFont="1" applyFill="1" applyBorder="1" applyAlignment="1">
      <alignment horizontal="left" vertical="center"/>
    </xf>
    <xf numFmtId="0" fontId="19" fillId="37" borderId="11" xfId="0" applyNumberFormat="1" applyFont="1" applyFill="1" applyBorder="1" applyAlignment="1">
      <alignment horizontal="right" vertical="center"/>
    </xf>
    <xf numFmtId="0" fontId="17" fillId="38" borderId="0" xfId="0" applyFont="1" applyFill="1" applyAlignment="1">
      <alignment vertical="center"/>
    </xf>
    <xf numFmtId="0" fontId="20" fillId="38" borderId="0" xfId="0" applyFont="1" applyFill="1" applyAlignment="1">
      <alignment vertical="center"/>
    </xf>
    <xf numFmtId="0" fontId="21" fillId="33" borderId="0" xfId="0" applyFont="1" applyFill="1" applyAlignment="1">
      <alignment horizontal="left"/>
    </xf>
    <xf numFmtId="0" fontId="21" fillId="33" borderId="0" xfId="0" applyNumberFormat="1" applyFont="1" applyFill="1" applyAlignment="1">
      <alignment horizontal="right"/>
    </xf>
    <xf numFmtId="0" fontId="14" fillId="33" borderId="0" xfId="0" applyFont="1" applyFill="1"/>
    <xf numFmtId="0" fontId="21" fillId="33" borderId="0" xfId="0" applyFont="1" applyFill="1"/>
    <xf numFmtId="0" fontId="21" fillId="34" borderId="0" xfId="0" applyFont="1" applyFill="1" applyAlignment="1">
      <alignment horizontal="left"/>
    </xf>
    <xf numFmtId="0" fontId="21" fillId="34" borderId="0" xfId="0" applyNumberFormat="1" applyFont="1" applyFill="1" applyAlignment="1">
      <alignment horizontal="right"/>
    </xf>
    <xf numFmtId="0" fontId="14" fillId="34" borderId="0" xfId="0" applyFont="1" applyFill="1"/>
    <xf numFmtId="0" fontId="21" fillId="34" borderId="0" xfId="0" applyFont="1" applyFill="1"/>
    <xf numFmtId="0" fontId="18" fillId="33" borderId="0" xfId="0" applyFont="1" applyFill="1" applyAlignment="1">
      <alignment vertical="center"/>
    </xf>
    <xf numFmtId="0" fontId="18" fillId="33" borderId="0" xfId="0" applyFont="1" applyFill="1" applyAlignment="1">
      <alignment horizontal="right" vertical="center"/>
    </xf>
    <xf numFmtId="0" fontId="18" fillId="34" borderId="0" xfId="0" applyFont="1" applyFill="1" applyAlignment="1">
      <alignment vertical="center"/>
    </xf>
    <xf numFmtId="0" fontId="18" fillId="34" borderId="0" xfId="0" applyFont="1" applyFill="1" applyAlignment="1">
      <alignment horizontal="right" vertical="center"/>
    </xf>
    <xf numFmtId="0" fontId="18" fillId="34" borderId="0" xfId="0" applyFont="1" applyFill="1" applyAlignment="1">
      <alignment horizontal="left" vertical="center"/>
    </xf>
    <xf numFmtId="0" fontId="18" fillId="34" borderId="0" xfId="0" applyNumberFormat="1" applyFont="1" applyFill="1" applyAlignment="1">
      <alignment horizontal="right" vertical="center"/>
    </xf>
    <xf numFmtId="0" fontId="22" fillId="36" borderId="12" xfId="0" applyFont="1" applyFill="1" applyBorder="1" applyAlignment="1">
      <alignment horizontal="left" vertical="center"/>
    </xf>
    <xf numFmtId="0" fontId="23" fillId="36" borderId="0" xfId="0" applyFont="1" applyFill="1" applyBorder="1" applyAlignment="1">
      <alignment vertical="center"/>
    </xf>
    <xf numFmtId="0" fontId="23" fillId="36" borderId="0" xfId="0" applyFont="1" applyFill="1" applyBorder="1" applyAlignment="1">
      <alignment horizontal="left" vertical="center"/>
    </xf>
    <xf numFmtId="0" fontId="22" fillId="36" borderId="12" xfId="0" applyFont="1" applyFill="1" applyBorder="1" applyAlignment="1">
      <alignment horizontal="right" vertical="center" indent="1"/>
    </xf>
    <xf numFmtId="0" fontId="23" fillId="0" borderId="0" xfId="0" applyFont="1" applyFill="1" applyBorder="1" applyAlignment="1">
      <alignment horizontal="right" vertical="center" indent="1"/>
    </xf>
    <xf numFmtId="0" fontId="24" fillId="0" borderId="0" xfId="0" applyFont="1" applyFill="1" applyBorder="1" applyAlignment="1">
      <alignment horizontal="right" vertical="center" indent="1"/>
    </xf>
    <xf numFmtId="0" fontId="23" fillId="0" borderId="0" xfId="0" applyNumberFormat="1" applyFont="1" applyFill="1" applyBorder="1" applyAlignment="1">
      <alignment horizontal="right" vertical="center" indent="1"/>
    </xf>
    <xf numFmtId="0" fontId="23" fillId="36" borderId="0" xfId="0" applyNumberFormat="1" applyFont="1" applyFill="1" applyBorder="1" applyAlignment="1">
      <alignment horizontal="right" vertical="center" indent="1"/>
    </xf>
    <xf numFmtId="0" fontId="22" fillId="0" borderId="0" xfId="0" applyNumberFormat="1" applyFont="1" applyFill="1" applyBorder="1" applyAlignment="1">
      <alignment horizontal="right" vertical="center" indent="1"/>
    </xf>
    <xf numFmtId="0" fontId="23" fillId="36" borderId="0" xfId="0" applyFont="1" applyFill="1" applyBorder="1" applyAlignment="1">
      <alignment horizontal="right" vertical="center" indent="1"/>
    </xf>
    <xf numFmtId="0" fontId="22" fillId="36" borderId="12" xfId="0" applyNumberFormat="1" applyFont="1" applyFill="1" applyBorder="1" applyAlignment="1">
      <alignment horizontal="right" vertical="center" indent="1"/>
    </xf>
    <xf numFmtId="0" fontId="24" fillId="36" borderId="12" xfId="0" applyNumberFormat="1" applyFont="1" applyFill="1" applyBorder="1" applyAlignment="1">
      <alignment horizontal="right" vertical="center" indent="1"/>
    </xf>
    <xf numFmtId="0" fontId="0" fillId="36" borderId="0" xfId="0" applyFill="1" applyAlignment="1">
      <alignment vertical="center"/>
    </xf>
    <xf numFmtId="0" fontId="18" fillId="36" borderId="0" xfId="0" applyFont="1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86A24"/>
      <color rgb="FFEA76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quipe_Saulnier" refreshedDate="46048.606291898148" createdVersion="8" refreshedVersion="8" minRefreshableVersion="3" recordCount="578" xr:uid="{4406A875-3DA0-4555-A644-A7EAD7569B04}">
  <cacheSource type="worksheet">
    <worksheetSource ref="A1:I579" sheet="metadata_ebi_processed"/>
  </cacheSource>
  <cacheFields count="9">
    <cacheField name="Run" numFmtId="0">
      <sharedItems/>
    </cacheField>
    <cacheField name="Sample.Characteristic.block." numFmtId="0">
      <sharedItems/>
    </cacheField>
    <cacheField name="Sample.Characteristic.developmental.stage." numFmtId="0">
      <sharedItems count="35">
        <s v="carnegie stage 23"/>
        <s v="carnegie stage 22"/>
        <s v="9 pcw"/>
        <s v="late 8 pcw"/>
        <s v="16 pcw"/>
        <s v="13 pcw"/>
        <s v="11 pcw"/>
        <s v="10 pcw"/>
        <s v="17 pcw"/>
        <s v="12 pcw"/>
        <s v="carnegie stage 21"/>
        <s v="carnegie stage 19"/>
        <s v="carnegie stage 18"/>
        <s v="14 pcw"/>
        <s v="carnegie stage 20"/>
        <s v="19 pcw"/>
        <s v="carnegie stage 17"/>
        <s v="carnegie stage 16"/>
        <s v="carnegie stage 15"/>
        <s v="20 pcw"/>
        <s v="15 pcw"/>
        <s v="carnegie stage 14"/>
        <s v="carnegie stage 13"/>
        <s v="9 post conception weeks" u="1"/>
        <s v="late 8 post conception weeks" u="1"/>
        <s v="16 post conception weeks" u="1"/>
        <s v="13 post conception weeks" u="1"/>
        <s v="11 post conception weeks" u="1"/>
        <s v="10 post conception weeks" u="1"/>
        <s v="17 post conception weeks" u="1"/>
        <s v="12 post conception weeks" u="1"/>
        <s v="14 post conception weeks" u="1"/>
        <s v="19 post conception weeks" u="1"/>
        <s v="20 post conception weeks" u="1"/>
        <s v="15 post conception weeks" u="1"/>
      </sharedItems>
    </cacheField>
    <cacheField name="Sample.Characteristic.individual." numFmtId="0">
      <sharedItems containsSemiMixedTypes="0" containsString="0" containsNumber="1" containsInteger="1" minValue="1046" maxValue="12007"/>
    </cacheField>
    <cacheField name="Sample.Characteristic.karyotype." numFmtId="0">
      <sharedItems/>
    </cacheField>
    <cacheField name="Sample.Characteristic.organism.part." numFmtId="0">
      <sharedItems count="20">
        <s v="basal ganglion"/>
        <s v="brain fragment"/>
        <s v="cerebellum"/>
        <s v="cerebral cortex"/>
        <s v="diencephalon"/>
        <s v="diencephalon and midbrain"/>
        <s v="forebrain"/>
        <s v="forebrain and midbrain"/>
        <s v="forebrain fragment"/>
        <s v="hindbrain"/>
        <s v="hindbrain fragment"/>
        <s v="hindbrain without cerebellum"/>
        <s v="hippocampus"/>
        <s v="medulla oblongata"/>
        <s v="midbrain"/>
        <s v="pituitary and diencephalon"/>
        <s v="pons"/>
        <s v="telencephalon"/>
        <s v="temporal lobe"/>
        <s v="stomach" u="1"/>
      </sharedItems>
    </cacheField>
    <cacheField name="Sample.Characteristic.sampling.site." numFmtId="0">
      <sharedItems containsBlank="1"/>
    </cacheField>
    <cacheField name="Analysed" numFmtId="0">
      <sharedItems/>
    </cacheField>
    <cacheField name="pcw_stage" numFmtId="0">
      <sharedItems count="16">
        <s v="8 pcw"/>
        <s v="9 pcw"/>
        <s v="16 pcw"/>
        <s v="13 pcw"/>
        <s v="11 pcw"/>
        <s v="10 pcw"/>
        <s v="17 pcw"/>
        <s v="12 pcw"/>
        <s v="7 pcw"/>
        <s v="14 pcw"/>
        <s v="19 pcw"/>
        <s v="6 pcw"/>
        <s v="5 pcw"/>
        <s v="20 pcw"/>
        <s v="15 pcw"/>
        <s v="4 pc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8">
  <r>
    <s v="ERR1472952"/>
    <s v="sequencing batch:FC2014_038"/>
    <x v="0"/>
    <n v="11826"/>
    <s v="46, xx"/>
    <x v="0"/>
    <s v="right"/>
    <s v="Yes"/>
    <x v="0"/>
  </r>
  <r>
    <s v="ERR1472953"/>
    <s v="sequencing batch:FC2014_038"/>
    <x v="0"/>
    <n v="11827"/>
    <s v="46, xx"/>
    <x v="0"/>
    <s v="left"/>
    <s v="Yes"/>
    <x v="0"/>
  </r>
  <r>
    <s v="ERR1472954"/>
    <s v="sequencing batch:FC2014_038"/>
    <x v="0"/>
    <n v="11827"/>
    <s v="46, xx"/>
    <x v="0"/>
    <s v="right"/>
    <s v="Yes"/>
    <x v="0"/>
  </r>
  <r>
    <s v="ERR1472955"/>
    <s v="sequencing batch:FC2014_030"/>
    <x v="0"/>
    <n v="11846"/>
    <s v="46, xx"/>
    <x v="0"/>
    <s v="left"/>
    <s v="Yes"/>
    <x v="0"/>
  </r>
  <r>
    <s v="ERR1472956"/>
    <s v="sequencing batch:FC2014_030"/>
    <x v="0"/>
    <n v="11846"/>
    <s v="46, xx"/>
    <x v="0"/>
    <s v="right"/>
    <s v="Yes"/>
    <x v="0"/>
  </r>
  <r>
    <s v="ERR1472957"/>
    <s v="sequencing batch:FC2014_030"/>
    <x v="0"/>
    <n v="11918"/>
    <s v="46, xx"/>
    <x v="0"/>
    <s v="left"/>
    <s v="Yes"/>
    <x v="0"/>
  </r>
  <r>
    <s v="ERR1472958"/>
    <s v="sequencing batch:FC2014_030"/>
    <x v="0"/>
    <n v="11918"/>
    <s v="46, xx"/>
    <x v="0"/>
    <s v="right"/>
    <s v="Yes"/>
    <x v="0"/>
  </r>
  <r>
    <s v="ERR1472959"/>
    <s v="sequencing batch:FC2014_035"/>
    <x v="1"/>
    <n v="11831"/>
    <s v="46, xy"/>
    <x v="0"/>
    <s v="left"/>
    <s v="Yes"/>
    <x v="0"/>
  </r>
  <r>
    <s v="ERR1472960"/>
    <s v="sequencing batch:FC2014_032"/>
    <x v="1"/>
    <n v="11831"/>
    <s v="46, xy"/>
    <x v="0"/>
    <s v="right"/>
    <s v="Yes"/>
    <x v="0"/>
  </r>
  <r>
    <s v="ERR1472961"/>
    <s v="sequencing batch:FC2014_043, FC2014_117"/>
    <x v="2"/>
    <n v="11845"/>
    <s v="46, xy"/>
    <x v="0"/>
    <s v="right"/>
    <s v="Yes"/>
    <x v="1"/>
  </r>
  <r>
    <s v="ERR1472962"/>
    <s v="sequencing batch:FC2014_043, FC2014_117"/>
    <x v="2"/>
    <n v="11845"/>
    <s v="46, xy"/>
    <x v="0"/>
    <s v="right"/>
    <s v="Yes"/>
    <x v="1"/>
  </r>
  <r>
    <s v="ERR1472963"/>
    <s v="sequencing batch:FC2014_066"/>
    <x v="2"/>
    <n v="11851"/>
    <s v="46, xx"/>
    <x v="0"/>
    <s v="left"/>
    <s v="Yes"/>
    <x v="1"/>
  </r>
  <r>
    <s v="ERR1472964"/>
    <s v="sequencing batch:FC2014_066"/>
    <x v="2"/>
    <n v="11851"/>
    <s v="46, xx"/>
    <x v="0"/>
    <s v="right"/>
    <s v="Yes"/>
    <x v="1"/>
  </r>
  <r>
    <s v="ERR1472965"/>
    <s v="sequencing batch:FC2014_075"/>
    <x v="2"/>
    <n v="11873"/>
    <s v="46, xx"/>
    <x v="0"/>
    <s v="left"/>
    <s v="Yes"/>
    <x v="1"/>
  </r>
  <r>
    <s v="ERR1472966"/>
    <s v="sequencing batch:FC2014_066"/>
    <x v="2"/>
    <n v="11873"/>
    <s v="46, xx"/>
    <x v="0"/>
    <s v="right"/>
    <s v="Yes"/>
    <x v="1"/>
  </r>
  <r>
    <s v="ERR1472967"/>
    <s v="sequencing batch:FC2014_071"/>
    <x v="3"/>
    <n v="11832"/>
    <s v="46, xx"/>
    <x v="0"/>
    <s v="left"/>
    <s v="Yes"/>
    <x v="0"/>
  </r>
  <r>
    <s v="ERR1472968"/>
    <s v="sequencing batch:FC2014_071"/>
    <x v="3"/>
    <n v="11832"/>
    <s v="46, xx"/>
    <x v="0"/>
    <s v="right"/>
    <s v="Yes"/>
    <x v="0"/>
  </r>
  <r>
    <s v="ERR1472969"/>
    <s v="sequencing batch:FC2014_073"/>
    <x v="3"/>
    <n v="11830"/>
    <s v="46, xx"/>
    <x v="0"/>
    <s v="left"/>
    <s v="Yes"/>
    <x v="0"/>
  </r>
  <r>
    <s v="ERR1472970"/>
    <s v="sequencing batch:FC2014_073"/>
    <x v="3"/>
    <n v="11830"/>
    <s v="46, xx"/>
    <x v="0"/>
    <s v="right"/>
    <s v="Yes"/>
    <x v="0"/>
  </r>
  <r>
    <s v="ERR1472971"/>
    <s v="sequencing batch:FC2014_054"/>
    <x v="0"/>
    <n v="11920"/>
    <s v="46, xy"/>
    <x v="0"/>
    <s v="left"/>
    <s v="Yes"/>
    <x v="0"/>
  </r>
  <r>
    <s v="ERR1472972"/>
    <s v="sequencing batch:FC2014_054"/>
    <x v="0"/>
    <n v="11920"/>
    <s v="46, xy"/>
    <x v="0"/>
    <s v="right"/>
    <s v="Yes"/>
    <x v="0"/>
  </r>
  <r>
    <s v="ERR1472973"/>
    <s v="sequencing batch:FC2014_054"/>
    <x v="4"/>
    <n v="11907"/>
    <s v="46, xx"/>
    <x v="0"/>
    <s v="right"/>
    <s v="Yes"/>
    <x v="2"/>
  </r>
  <r>
    <s v="ERR1472974"/>
    <s v="sequencing batch:FC2014_055"/>
    <x v="5"/>
    <n v="1923"/>
    <s v="46, xx"/>
    <x v="0"/>
    <s v="left"/>
    <s v="Yes"/>
    <x v="3"/>
  </r>
  <r>
    <s v="ERR1472975"/>
    <s v="sequencing batch:FC2014_055"/>
    <x v="5"/>
    <n v="1923"/>
    <s v="46, xx"/>
    <x v="0"/>
    <s v="right"/>
    <s v="Yes"/>
    <x v="3"/>
  </r>
  <r>
    <s v="ERR1472976"/>
    <s v="sequencing batch:FC2014_047"/>
    <x v="6"/>
    <n v="11656"/>
    <s v="46, xx"/>
    <x v="0"/>
    <m/>
    <s v="Yes"/>
    <x v="4"/>
  </r>
  <r>
    <s v="ERR1472977"/>
    <s v="sequencing batch:FC2014_047"/>
    <x v="6"/>
    <n v="11833"/>
    <s v="46, xx"/>
    <x v="0"/>
    <s v="left"/>
    <s v="Yes"/>
    <x v="4"/>
  </r>
  <r>
    <s v="ERR1472978"/>
    <s v="sequencing batch:FC2014_044"/>
    <x v="6"/>
    <n v="11833"/>
    <s v="46, xx"/>
    <x v="0"/>
    <s v="right"/>
    <s v="Yes"/>
    <x v="4"/>
  </r>
  <r>
    <s v="ERR1472979"/>
    <s v="sequencing batch:FC2014_044"/>
    <x v="6"/>
    <n v="11942"/>
    <s v="46, xx"/>
    <x v="0"/>
    <s v="left"/>
    <s v="Yes"/>
    <x v="4"/>
  </r>
  <r>
    <s v="ERR1472980"/>
    <s v="sequencing batch:FC2014_044"/>
    <x v="7"/>
    <n v="11841"/>
    <s v="46, xy"/>
    <x v="0"/>
    <s v="left"/>
    <s v="Yes"/>
    <x v="5"/>
  </r>
  <r>
    <s v="ERR1472981"/>
    <s v="sequencing batch:FC2014_045"/>
    <x v="5"/>
    <n v="11947"/>
    <s v="46, xx"/>
    <x v="0"/>
    <s v="right"/>
    <s v="Yes"/>
    <x v="3"/>
  </r>
  <r>
    <s v="ERR1472982"/>
    <s v="sequencing batch:FC2014_044"/>
    <x v="8"/>
    <n v="11921"/>
    <s v="46, xy"/>
    <x v="0"/>
    <s v="left"/>
    <s v="Yes"/>
    <x v="6"/>
  </r>
  <r>
    <s v="ERR1472983"/>
    <s v="sequencing batch:FC2014_080"/>
    <x v="9"/>
    <n v="12007"/>
    <s v="46, xy"/>
    <x v="0"/>
    <s v="left"/>
    <s v="Yes"/>
    <x v="7"/>
  </r>
  <r>
    <s v="ERR1472984"/>
    <s v="sequencing batch:FC2014_080"/>
    <x v="9"/>
    <n v="12007"/>
    <s v="46, xy"/>
    <x v="0"/>
    <s v="right"/>
    <s v="Yes"/>
    <x v="7"/>
  </r>
  <r>
    <s v="ERR1472985"/>
    <s v="sequencing batch:FC2014_081"/>
    <x v="6"/>
    <n v="11942"/>
    <s v="46, xx"/>
    <x v="0"/>
    <s v="right"/>
    <s v="Yes"/>
    <x v="4"/>
  </r>
  <r>
    <s v="ERR1472986"/>
    <s v="sequencing batch:FC2014_038"/>
    <x v="0"/>
    <n v="11823"/>
    <s v="46, xy"/>
    <x v="1"/>
    <s v="left"/>
    <s v="Yes"/>
    <x v="0"/>
  </r>
  <r>
    <s v="ERR1472987"/>
    <s v="sequencing batch:FC2014_038"/>
    <x v="0"/>
    <n v="11823"/>
    <s v="46, xy"/>
    <x v="1"/>
    <s v="right"/>
    <s v="Yes"/>
    <x v="0"/>
  </r>
  <r>
    <s v="ERR1472988"/>
    <s v="sequencing batch:FC2014_038"/>
    <x v="0"/>
    <n v="11826"/>
    <s v="46, xx"/>
    <x v="1"/>
    <m/>
    <s v="Yes"/>
    <x v="0"/>
  </r>
  <r>
    <s v="ERR1472989"/>
    <s v="sequencing batch:FC2014_030"/>
    <x v="0"/>
    <n v="11827"/>
    <s v="46, xx"/>
    <x v="1"/>
    <m/>
    <s v="Yes"/>
    <x v="0"/>
  </r>
  <r>
    <s v="ERR1472990"/>
    <s v="sequencing batch:FC2014_030"/>
    <x v="0"/>
    <n v="11860"/>
    <s v="46, xx"/>
    <x v="1"/>
    <m/>
    <s v="Yes"/>
    <x v="0"/>
  </r>
  <r>
    <s v="ERR1472991"/>
    <s v="sequencing batch:FC2014_030"/>
    <x v="0"/>
    <n v="11843"/>
    <s v="46, xx"/>
    <x v="1"/>
    <m/>
    <s v="Yes"/>
    <x v="0"/>
  </r>
  <r>
    <s v="ERR1472992"/>
    <s v="sequencing batch:FC2014_030"/>
    <x v="0"/>
    <n v="11444"/>
    <s v="46, xy"/>
    <x v="1"/>
    <m/>
    <s v="Yes"/>
    <x v="0"/>
  </r>
  <r>
    <s v="ERR1472993"/>
    <s v="sequencing batch:FC2014_037"/>
    <x v="1"/>
    <n v="11868"/>
    <s v="46, xx"/>
    <x v="1"/>
    <m/>
    <s v="Yes"/>
    <x v="0"/>
  </r>
  <r>
    <s v="ERR1472994"/>
    <s v="sequencing batch:FC2014_037"/>
    <x v="1"/>
    <n v="11793"/>
    <s v="46, xy"/>
    <x v="1"/>
    <m/>
    <s v="Yes"/>
    <x v="0"/>
  </r>
  <r>
    <s v="ERR1472995"/>
    <s v="sequencing batch:FC2014_037"/>
    <x v="1"/>
    <n v="11443"/>
    <s v="46, xx"/>
    <x v="1"/>
    <m/>
    <s v="Yes"/>
    <x v="0"/>
  </r>
  <r>
    <s v="ERR1472996"/>
    <s v="sequencing batch:FC2014_037"/>
    <x v="1"/>
    <n v="11410"/>
    <s v="46, xy"/>
    <x v="1"/>
    <m/>
    <s v="Yes"/>
    <x v="0"/>
  </r>
  <r>
    <s v="ERR1472997"/>
    <s v="sequencing batch:FC2014_037"/>
    <x v="10"/>
    <n v="11849"/>
    <s v="46, xy"/>
    <x v="1"/>
    <m/>
    <s v="Yes"/>
    <x v="0"/>
  </r>
  <r>
    <s v="ERR1472998"/>
    <s v="sequencing batch:FC2014_037"/>
    <x v="10"/>
    <n v="11811"/>
    <s v="46, xx"/>
    <x v="1"/>
    <m/>
    <s v="Yes"/>
    <x v="0"/>
  </r>
  <r>
    <s v="ERR1472999"/>
    <s v="sequencing batch:FC2014_037"/>
    <x v="11"/>
    <n v="11566"/>
    <s v="46, xx"/>
    <x v="1"/>
    <m/>
    <s v="Yes"/>
    <x v="8"/>
  </r>
  <r>
    <s v="ERR1473000"/>
    <s v="sequencing batch:FC2014_037"/>
    <x v="11"/>
    <n v="11514"/>
    <s v="46, xx"/>
    <x v="1"/>
    <m/>
    <s v="Yes"/>
    <x v="8"/>
  </r>
  <r>
    <s v="ERR1473001"/>
    <s v="sequencing batch:FC2014_037"/>
    <x v="12"/>
    <n v="11770"/>
    <s v="46, xx"/>
    <x v="1"/>
    <m/>
    <s v="Yes"/>
    <x v="8"/>
  </r>
  <r>
    <s v="ERR1473002"/>
    <s v="sequencing batch:FC2014_037"/>
    <x v="12"/>
    <n v="11627"/>
    <s v="46, xx"/>
    <x v="1"/>
    <m/>
    <s v="Yes"/>
    <x v="8"/>
  </r>
  <r>
    <s v="ERR1473003"/>
    <s v="sequencing batch:FC2014_037"/>
    <x v="12"/>
    <n v="11456"/>
    <s v="46, xx"/>
    <x v="1"/>
    <m/>
    <s v="Yes"/>
    <x v="8"/>
  </r>
  <r>
    <s v="ERR1473004"/>
    <s v="sequencing batch:FC2014_073"/>
    <x v="3"/>
    <n v="11800"/>
    <s v="46, xx"/>
    <x v="1"/>
    <m/>
    <s v="Yes"/>
    <x v="0"/>
  </r>
  <r>
    <s v="ERR1473005"/>
    <s v="sequencing batch:FC2014_073"/>
    <x v="3"/>
    <n v="11492"/>
    <s v="46, xy"/>
    <x v="1"/>
    <m/>
    <s v="Yes"/>
    <x v="0"/>
  </r>
  <r>
    <s v="ERR1473006"/>
    <s v="sequencing batch:FC2014_054"/>
    <x v="4"/>
    <n v="11819"/>
    <s v="46, xx"/>
    <x v="1"/>
    <m/>
    <s v="Yes"/>
    <x v="2"/>
  </r>
  <r>
    <s v="ERR1473007"/>
    <s v="sequencing batch:FC2014_055"/>
    <x v="13"/>
    <n v="11794"/>
    <s v="46, xx"/>
    <x v="1"/>
    <m/>
    <s v="Yes"/>
    <x v="9"/>
  </r>
  <r>
    <s v="ERR1473008"/>
    <s v="sequencing batch:FC2014_055"/>
    <x v="5"/>
    <n v="11501"/>
    <s v="46, xy"/>
    <x v="1"/>
    <m/>
    <s v="Yes"/>
    <x v="3"/>
  </r>
  <r>
    <s v="ERR1473009"/>
    <s v="sequencing batch:FC2014_047"/>
    <x v="9"/>
    <n v="1047"/>
    <s v="46, xx"/>
    <x v="1"/>
    <m/>
    <s v="Yes"/>
    <x v="7"/>
  </r>
  <r>
    <s v="ERR1473010"/>
    <s v="sequencing batch:FC2014_047"/>
    <x v="9"/>
    <n v="11429"/>
    <s v="46, xx"/>
    <x v="1"/>
    <m/>
    <s v="Yes"/>
    <x v="7"/>
  </r>
  <r>
    <s v="ERR1473011"/>
    <s v="sequencing batch:FC2014_047"/>
    <x v="6"/>
    <n v="11798"/>
    <s v="46, xy"/>
    <x v="1"/>
    <m/>
    <s v="Yes"/>
    <x v="4"/>
  </r>
  <r>
    <s v="ERR1473012"/>
    <s v="sequencing batch:FC2014_047"/>
    <x v="6"/>
    <n v="11806"/>
    <s v="46, xx"/>
    <x v="1"/>
    <m/>
    <s v="Yes"/>
    <x v="4"/>
  </r>
  <r>
    <s v="ERR1473013"/>
    <s v="sequencing batch:FC2014_044"/>
    <x v="7"/>
    <n v="11880"/>
    <s v="46, xy"/>
    <x v="1"/>
    <m/>
    <s v="Yes"/>
    <x v="5"/>
  </r>
  <r>
    <s v="ERR1473014"/>
    <s v="sequencing batch:FC2014_045"/>
    <x v="12"/>
    <n v="11122"/>
    <s v="46, xx"/>
    <x v="1"/>
    <m/>
    <s v="Yes"/>
    <x v="8"/>
  </r>
  <r>
    <s v="ERR1473015"/>
    <s v="sequencing batch:FC2014_045"/>
    <x v="11"/>
    <n v="11238"/>
    <s v="46, xx"/>
    <x v="1"/>
    <m/>
    <s v="Yes"/>
    <x v="8"/>
  </r>
  <r>
    <s v="ERR1473016"/>
    <s v="sequencing batch:FC2014_045"/>
    <x v="11"/>
    <n v="11286"/>
    <s v="46, xy"/>
    <x v="1"/>
    <m/>
    <s v="Yes"/>
    <x v="8"/>
  </r>
  <r>
    <s v="ERR1473017"/>
    <s v="sequencing batch:FC2014_045"/>
    <x v="14"/>
    <n v="11237"/>
    <s v="46, xy"/>
    <x v="1"/>
    <m/>
    <s v="Yes"/>
    <x v="0"/>
  </r>
  <r>
    <s v="ERR1473018"/>
    <s v="sequencing batch:FC2014_045"/>
    <x v="14"/>
    <n v="11382"/>
    <s v="46, xy"/>
    <x v="1"/>
    <m/>
    <s v="Yes"/>
    <x v="0"/>
  </r>
  <r>
    <s v="ERR1473019"/>
    <s v="sequencing batch:FC2014_045"/>
    <x v="10"/>
    <n v="11254"/>
    <s v="46, xy"/>
    <x v="1"/>
    <m/>
    <s v="Yes"/>
    <x v="0"/>
  </r>
  <r>
    <s v="ERR1473020"/>
    <s v="sequencing batch:FC2014_045"/>
    <x v="10"/>
    <n v="11471"/>
    <s v="46, xy"/>
    <x v="1"/>
    <m/>
    <s v="Yes"/>
    <x v="0"/>
  </r>
  <r>
    <s v="ERR1473021"/>
    <s v="sequencing batch:FC2014_045"/>
    <x v="15"/>
    <n v="11875"/>
    <s v="46, xy"/>
    <x v="1"/>
    <m/>
    <s v="Yes"/>
    <x v="10"/>
  </r>
  <r>
    <s v="ERR1473022"/>
    <s v="sequencing batch:FC2014_045"/>
    <x v="10"/>
    <n v="11304"/>
    <s v="46, xx"/>
    <x v="1"/>
    <m/>
    <s v="Yes"/>
    <x v="0"/>
  </r>
  <r>
    <s v="ERR1473023"/>
    <s v="sequencing batch:FC2014_045"/>
    <x v="10"/>
    <n v="11165"/>
    <s v="46, xx"/>
    <x v="1"/>
    <m/>
    <s v="Yes"/>
    <x v="0"/>
  </r>
  <r>
    <s v="ERR1473024"/>
    <s v="sequencing batch:FC2014_048"/>
    <x v="1"/>
    <n v="1707"/>
    <s v="46, xx"/>
    <x v="1"/>
    <m/>
    <s v="No"/>
    <x v="0"/>
  </r>
  <r>
    <s v="ERR1473025"/>
    <s v="sequencing batch:FC2014_048"/>
    <x v="0"/>
    <n v="1607"/>
    <s v="46, xx"/>
    <x v="1"/>
    <m/>
    <s v="No"/>
    <x v="0"/>
  </r>
  <r>
    <s v="ERR1473026"/>
    <s v="sequencing batch:FC2014_048"/>
    <x v="0"/>
    <n v="2193"/>
    <s v="46, xy"/>
    <x v="1"/>
    <m/>
    <s v="No"/>
    <x v="0"/>
  </r>
  <r>
    <s v="ERR1473027"/>
    <s v="sequencing batch:FC2014_048"/>
    <x v="0"/>
    <n v="11120"/>
    <s v="46, xy"/>
    <x v="1"/>
    <m/>
    <s v="No"/>
    <x v="0"/>
  </r>
  <r>
    <s v="ERR1473028"/>
    <s v="sequencing batch:FC2014_048"/>
    <x v="14"/>
    <n v="11354"/>
    <s v="46, xy"/>
    <x v="1"/>
    <m/>
    <s v="No"/>
    <x v="0"/>
  </r>
  <r>
    <s v="ERR1473029"/>
    <s v="sequencing batch:FC2014_048"/>
    <x v="14"/>
    <n v="11245"/>
    <s v="46, xx"/>
    <x v="1"/>
    <m/>
    <s v="No"/>
    <x v="0"/>
  </r>
  <r>
    <s v="ERR1473030"/>
    <s v="sequencing batch:FC2014_048"/>
    <x v="14"/>
    <n v="11241"/>
    <s v="46, xx"/>
    <x v="1"/>
    <m/>
    <s v="No"/>
    <x v="0"/>
  </r>
  <r>
    <s v="ERR1473031"/>
    <s v="sequencing batch:FC2014_048"/>
    <x v="14"/>
    <n v="11156"/>
    <s v="46, xy"/>
    <x v="1"/>
    <m/>
    <s v="No"/>
    <x v="0"/>
  </r>
  <r>
    <s v="ERR1473032"/>
    <s v="sequencing batch:FC2014_049"/>
    <x v="11"/>
    <n v="11894"/>
    <s v="46, xy"/>
    <x v="1"/>
    <m/>
    <s v="Yes"/>
    <x v="8"/>
  </r>
  <r>
    <s v="ERR1473033"/>
    <s v="sequencing batch:FC2014_049"/>
    <x v="11"/>
    <n v="11470"/>
    <s v="46, xx"/>
    <x v="1"/>
    <m/>
    <s v="Yes"/>
    <x v="8"/>
  </r>
  <r>
    <s v="ERR1473034"/>
    <s v="sequencing batch:FC2014_049"/>
    <x v="11"/>
    <n v="11363"/>
    <s v="46, xx"/>
    <x v="1"/>
    <m/>
    <s v="Yes"/>
    <x v="8"/>
  </r>
  <r>
    <s v="ERR1473035"/>
    <s v="sequencing batch:FC2014_049"/>
    <x v="11"/>
    <n v="11323"/>
    <s v="46, xx"/>
    <x v="1"/>
    <m/>
    <s v="Yes"/>
    <x v="8"/>
  </r>
  <r>
    <s v="ERR1473036"/>
    <s v="sequencing batch:FC2014_049"/>
    <x v="11"/>
    <n v="11320"/>
    <s v="46, xy"/>
    <x v="1"/>
    <m/>
    <s v="Yes"/>
    <x v="8"/>
  </r>
  <r>
    <s v="ERR1473037"/>
    <s v="sequencing batch:FC2014_049"/>
    <x v="11"/>
    <n v="11318"/>
    <s v="46, xy"/>
    <x v="1"/>
    <m/>
    <s v="Yes"/>
    <x v="8"/>
  </r>
  <r>
    <s v="ERR1473038"/>
    <s v="sequencing batch:FC2014_049"/>
    <x v="11"/>
    <n v="11317"/>
    <s v="46, xy"/>
    <x v="1"/>
    <m/>
    <s v="Yes"/>
    <x v="8"/>
  </r>
  <r>
    <s v="ERR1473039"/>
    <s v="sequencing batch:FC2014_049"/>
    <x v="11"/>
    <n v="11300"/>
    <s v="46, xy"/>
    <x v="1"/>
    <m/>
    <s v="Yes"/>
    <x v="8"/>
  </r>
  <r>
    <s v="ERR1473040"/>
    <s v="sequencing batch:FC2014_049"/>
    <x v="12"/>
    <n v="11859"/>
    <s v="46, xy"/>
    <x v="1"/>
    <m/>
    <s v="Yes"/>
    <x v="8"/>
  </r>
  <r>
    <s v="ERR1473041"/>
    <s v="sequencing batch:FC2014_049"/>
    <x v="12"/>
    <n v="11469"/>
    <s v="46, xx"/>
    <x v="1"/>
    <m/>
    <s v="Yes"/>
    <x v="8"/>
  </r>
  <r>
    <s v="ERR1473042"/>
    <s v="sequencing batch:FC2014_049"/>
    <x v="12"/>
    <n v="11438"/>
    <s v="46, xy"/>
    <x v="1"/>
    <m/>
    <s v="Yes"/>
    <x v="8"/>
  </r>
  <r>
    <s v="ERR1473043"/>
    <s v="sequencing batch:FC2014_049"/>
    <x v="12"/>
    <n v="11322"/>
    <s v="46, xy"/>
    <x v="1"/>
    <m/>
    <s v="Yes"/>
    <x v="8"/>
  </r>
  <r>
    <s v="ERR1473044"/>
    <s v="sequencing batch:FC2014_049"/>
    <x v="12"/>
    <n v="11234"/>
    <s v="46, xx"/>
    <x v="1"/>
    <m/>
    <s v="Yes"/>
    <x v="8"/>
  </r>
  <r>
    <s v="ERR1473045"/>
    <s v="sequencing batch:FC2014_049"/>
    <x v="16"/>
    <n v="11395"/>
    <s v="46, xy"/>
    <x v="1"/>
    <m/>
    <s v="Yes"/>
    <x v="11"/>
  </r>
  <r>
    <s v="ERR1473046"/>
    <s v="sequencing batch:FC2014_049"/>
    <x v="16"/>
    <n v="11321"/>
    <s v="46, xy"/>
    <x v="1"/>
    <m/>
    <s v="Yes"/>
    <x v="11"/>
  </r>
  <r>
    <s v="ERR1473047"/>
    <s v="sequencing batch:FC2014_049"/>
    <x v="17"/>
    <n v="11334"/>
    <s v="46, xx"/>
    <x v="1"/>
    <m/>
    <s v="Yes"/>
    <x v="11"/>
  </r>
  <r>
    <s v="ERR1473048"/>
    <s v="sequencing batch:FC2014_049"/>
    <x v="18"/>
    <n v="11397"/>
    <s v="46, xx"/>
    <x v="1"/>
    <m/>
    <s v="Yes"/>
    <x v="12"/>
  </r>
  <r>
    <s v="ERR1473049"/>
    <s v="sequencing batch:FC2014_045"/>
    <x v="18"/>
    <n v="11405"/>
    <s v="46, xx"/>
    <x v="1"/>
    <m/>
    <s v="Yes"/>
    <x v="12"/>
  </r>
  <r>
    <s v="ERR1473050"/>
    <s v="sequencing batch:FC2014_050"/>
    <x v="14"/>
    <n v="11143"/>
    <s v="46, xy"/>
    <x v="1"/>
    <m/>
    <s v="Yes"/>
    <x v="0"/>
  </r>
  <r>
    <s v="ERR1473051"/>
    <s v="sequencing batch:FC2014_050"/>
    <x v="2"/>
    <n v="11312"/>
    <s v="46, xx"/>
    <x v="1"/>
    <m/>
    <s v="Yes"/>
    <x v="1"/>
  </r>
  <r>
    <s v="ERR1473052"/>
    <s v="sequencing batch:FC2014_050"/>
    <x v="3"/>
    <n v="11160"/>
    <s v="46, xx"/>
    <x v="1"/>
    <m/>
    <s v="Yes"/>
    <x v="0"/>
  </r>
  <r>
    <s v="ERR1473053"/>
    <s v="sequencing batch:FC2014_050"/>
    <x v="3"/>
    <n v="11144"/>
    <s v="46, xy"/>
    <x v="1"/>
    <m/>
    <s v="Yes"/>
    <x v="0"/>
  </r>
  <r>
    <s v="ERR1473054"/>
    <s v="sequencing batch:FC2014_050"/>
    <x v="19"/>
    <n v="11589"/>
    <s v="46, xy"/>
    <x v="1"/>
    <m/>
    <s v="Yes"/>
    <x v="13"/>
  </r>
  <r>
    <s v="ERR1473055"/>
    <s v="sequencing batch:FC2014_050"/>
    <x v="10"/>
    <n v="11876"/>
    <s v="46, xy"/>
    <x v="1"/>
    <m/>
    <s v="Yes"/>
    <x v="0"/>
  </r>
  <r>
    <s v="ERR1473056"/>
    <s v="sequencing batch:FC2014_050"/>
    <x v="15"/>
    <n v="11581"/>
    <s v="46, xy"/>
    <x v="1"/>
    <m/>
    <s v="Yes"/>
    <x v="10"/>
  </r>
  <r>
    <s v="ERR1473057"/>
    <s v="sequencing batch:FC2014_050"/>
    <x v="8"/>
    <n v="11808"/>
    <s v="46, xy"/>
    <x v="1"/>
    <m/>
    <s v="Yes"/>
    <x v="6"/>
  </r>
  <r>
    <s v="ERR1473058"/>
    <s v="sequencing batch:FC2014_050"/>
    <x v="8"/>
    <n v="11580"/>
    <s v="46, xy"/>
    <x v="1"/>
    <m/>
    <s v="Yes"/>
    <x v="6"/>
  </r>
  <r>
    <s v="ERR1473059"/>
    <s v="sequencing batch:FC2014_050"/>
    <x v="8"/>
    <n v="11464"/>
    <s v="46, xx"/>
    <x v="1"/>
    <m/>
    <s v="Yes"/>
    <x v="6"/>
  </r>
  <r>
    <s v="ERR1473060"/>
    <s v="sequencing batch:FC2014_050"/>
    <x v="4"/>
    <n v="11819"/>
    <s v="46, xx"/>
    <x v="1"/>
    <m/>
    <s v="Yes"/>
    <x v="2"/>
  </r>
  <r>
    <s v="ERR1473061"/>
    <s v="sequencing batch:FC2014_050"/>
    <x v="20"/>
    <n v="11801"/>
    <s v="46, xx"/>
    <x v="1"/>
    <m/>
    <s v="Yes"/>
    <x v="14"/>
  </r>
  <r>
    <s v="ERR1473062"/>
    <s v="sequencing batch:FC2014_050"/>
    <x v="20"/>
    <n v="11446"/>
    <s v="46, xy"/>
    <x v="1"/>
    <m/>
    <s v="Yes"/>
    <x v="14"/>
  </r>
  <r>
    <s v="ERR1473063"/>
    <s v="sequencing batch:FC2014_081, FC2014_117"/>
    <x v="13"/>
    <n v="11794"/>
    <s v="46, xx"/>
    <x v="1"/>
    <m/>
    <s v="Yes"/>
    <x v="9"/>
  </r>
  <r>
    <s v="ERR1473064"/>
    <s v="sequencing batch:FC2014_081, FC2014_117"/>
    <x v="13"/>
    <n v="11794"/>
    <s v="46, xx"/>
    <x v="1"/>
    <m/>
    <s v="Yes"/>
    <x v="9"/>
  </r>
  <r>
    <s v="ERR1473065"/>
    <s v="sequencing batch:FC2014_053"/>
    <x v="13"/>
    <n v="11511"/>
    <s v="46, xy"/>
    <x v="1"/>
    <m/>
    <s v="No"/>
    <x v="9"/>
  </r>
  <r>
    <s v="ERR1473066"/>
    <s v="sequencing batch:FC2014_053"/>
    <x v="13"/>
    <n v="11494"/>
    <s v="46, xy"/>
    <x v="1"/>
    <m/>
    <s v="No"/>
    <x v="9"/>
  </r>
  <r>
    <s v="ERR1473067"/>
    <s v="sequencing batch:FC2014_053"/>
    <x v="13"/>
    <n v="11457"/>
    <s v="46, xx"/>
    <x v="1"/>
    <m/>
    <s v="No"/>
    <x v="9"/>
  </r>
  <r>
    <s v="ERR1473068"/>
    <s v="sequencing batch:FC2014_053"/>
    <x v="13"/>
    <n v="11451"/>
    <s v="46, xy"/>
    <x v="1"/>
    <m/>
    <s v="No"/>
    <x v="9"/>
  </r>
  <r>
    <s v="ERR1473069"/>
    <s v="sequencing batch:FC2014_089"/>
    <x v="13"/>
    <n v="11449"/>
    <s v="46, xy"/>
    <x v="1"/>
    <m/>
    <s v="Yes"/>
    <x v="9"/>
  </r>
  <r>
    <s v="ERR1473070"/>
    <s v="sequencing batch:FC2014_065"/>
    <x v="13"/>
    <n v="11424"/>
    <s v="46, xx"/>
    <x v="1"/>
    <m/>
    <s v="Yes"/>
    <x v="9"/>
  </r>
  <r>
    <s v="ERR1473071"/>
    <s v="sequencing batch:FC2014_053"/>
    <x v="5"/>
    <n v="11817"/>
    <s v="46, xx"/>
    <x v="1"/>
    <m/>
    <s v="No"/>
    <x v="3"/>
  </r>
  <r>
    <s v="ERR1473072"/>
    <s v="sequencing batch:FC2014_053"/>
    <x v="5"/>
    <n v="11775"/>
    <s v="46, xy"/>
    <x v="1"/>
    <m/>
    <s v="No"/>
    <x v="3"/>
  </r>
  <r>
    <s v="ERR1473073"/>
    <s v="sequencing batch:FC2014_053"/>
    <x v="5"/>
    <n v="11654"/>
    <s v="46, xx"/>
    <x v="1"/>
    <m/>
    <s v="No"/>
    <x v="3"/>
  </r>
  <r>
    <s v="ERR1473074"/>
    <s v="sequencing batch:FC2014_055"/>
    <x v="5"/>
    <n v="11572"/>
    <s v="unknown"/>
    <x v="1"/>
    <m/>
    <s v="Yes"/>
    <x v="3"/>
  </r>
  <r>
    <s v="ERR1473075"/>
    <s v="sequencing batch:FC2014_065"/>
    <x v="5"/>
    <n v="11496"/>
    <s v="46, xy"/>
    <x v="1"/>
    <m/>
    <s v="Yes"/>
    <x v="3"/>
  </r>
  <r>
    <s v="ERR1473076"/>
    <s v="sequencing batch:FC2014_081"/>
    <x v="5"/>
    <n v="11489"/>
    <s v="46, xx"/>
    <x v="1"/>
    <m/>
    <s v="Yes"/>
    <x v="3"/>
  </r>
  <r>
    <s v="ERR1473077"/>
    <s v="sequencing batch:FC2014_058, FC2014_117"/>
    <x v="5"/>
    <n v="11423"/>
    <s v="46, xx"/>
    <x v="1"/>
    <m/>
    <s v="Yes"/>
    <x v="3"/>
  </r>
  <r>
    <s v="ERR1473078"/>
    <s v="sequencing batch:FC2014_058, FC2014_117"/>
    <x v="5"/>
    <n v="11423"/>
    <s v="46, xx"/>
    <x v="1"/>
    <m/>
    <s v="Yes"/>
    <x v="3"/>
  </r>
  <r>
    <s v="ERR1473079"/>
    <s v="sequencing batch:FC2014_058"/>
    <x v="5"/>
    <n v="11349"/>
    <s v="46, xx"/>
    <x v="1"/>
    <m/>
    <s v="Yes"/>
    <x v="3"/>
  </r>
  <r>
    <s v="ERR1473080"/>
    <s v="sequencing batch:FC2014_058"/>
    <x v="5"/>
    <n v="11309"/>
    <s v="46, xx"/>
    <x v="1"/>
    <m/>
    <s v="Yes"/>
    <x v="3"/>
  </r>
  <r>
    <s v="ERR1473081"/>
    <s v="sequencing batch:FC2014_058"/>
    <x v="5"/>
    <n v="11305"/>
    <s v="46, xx"/>
    <x v="1"/>
    <m/>
    <s v="Yes"/>
    <x v="3"/>
  </r>
  <r>
    <s v="ERR1473082"/>
    <s v="sequencing batch:FC2014_065"/>
    <x v="9"/>
    <n v="1047"/>
    <s v="46, xx"/>
    <x v="1"/>
    <m/>
    <s v="Yes"/>
    <x v="7"/>
  </r>
  <r>
    <s v="ERR1473083"/>
    <s v="sequencing batch:FC2014_065"/>
    <x v="9"/>
    <n v="11373"/>
    <s v="46, xx"/>
    <x v="1"/>
    <m/>
    <s v="Yes"/>
    <x v="7"/>
  </r>
  <r>
    <s v="ERR1473084"/>
    <s v="sequencing batch:FC2014_065"/>
    <x v="6"/>
    <n v="11798"/>
    <s v="46, xy"/>
    <x v="1"/>
    <m/>
    <s v="Yes"/>
    <x v="4"/>
  </r>
  <r>
    <s v="ERR1473085"/>
    <s v="sequencing batch:FC2014_089"/>
    <x v="6"/>
    <n v="11769"/>
    <s v="46, xx"/>
    <x v="1"/>
    <m/>
    <s v="Yes"/>
    <x v="4"/>
  </r>
  <r>
    <s v="ERR1473086"/>
    <s v="sequencing batch:FC2014_045"/>
    <x v="1"/>
    <n v="11814"/>
    <s v="46, xy"/>
    <x v="2"/>
    <s v="right"/>
    <s v="Yes"/>
    <x v="0"/>
  </r>
  <r>
    <s v="ERR1473087"/>
    <s v="sequencing batch:FC2014_045"/>
    <x v="1"/>
    <n v="11815"/>
    <s v="46, xx"/>
    <x v="2"/>
    <m/>
    <s v="Yes"/>
    <x v="0"/>
  </r>
  <r>
    <s v="ERR1473088"/>
    <s v="sequencing batch:FC2014_045"/>
    <x v="2"/>
    <n v="11820"/>
    <s v="46, xx"/>
    <x v="2"/>
    <s v="right"/>
    <s v="Yes"/>
    <x v="1"/>
  </r>
  <r>
    <s v="ERR1473089"/>
    <s v="sequencing batch:FC2014_045"/>
    <x v="1"/>
    <n v="11828"/>
    <s v="46, xx"/>
    <x v="2"/>
    <m/>
    <s v="Yes"/>
    <x v="0"/>
  </r>
  <r>
    <s v="ERR1473090"/>
    <s v="sequencing batch:FC2014_048"/>
    <x v="1"/>
    <n v="11829"/>
    <s v="46, xy"/>
    <x v="2"/>
    <m/>
    <s v="Yes"/>
    <x v="0"/>
  </r>
  <r>
    <s v="ERR1473091"/>
    <s v="sequencing batch:FC2014_048"/>
    <x v="1"/>
    <n v="11831"/>
    <s v="46, xy"/>
    <x v="2"/>
    <m/>
    <s v="Yes"/>
    <x v="0"/>
  </r>
  <r>
    <s v="ERR1473092"/>
    <s v="sequencing batch:FC2014_048"/>
    <x v="1"/>
    <n v="11858"/>
    <s v="46, xy"/>
    <x v="2"/>
    <m/>
    <s v="Yes"/>
    <x v="0"/>
  </r>
  <r>
    <s v="ERR1473093"/>
    <s v="sequencing batch:FC2014_048"/>
    <x v="1"/>
    <n v="11865"/>
    <s v="46, xy"/>
    <x v="2"/>
    <m/>
    <s v="Yes"/>
    <x v="0"/>
  </r>
  <r>
    <s v="ERR1473094"/>
    <s v="sequencing batch:FC2014_048"/>
    <x v="1"/>
    <n v="11871"/>
    <s v="46, xx"/>
    <x v="2"/>
    <m/>
    <s v="No"/>
    <x v="0"/>
  </r>
  <r>
    <s v="ERR1473095"/>
    <s v="sequencing batch:FC2014_048"/>
    <x v="1"/>
    <n v="11878"/>
    <s v="46, xx"/>
    <x v="2"/>
    <s v="right"/>
    <s v="No"/>
    <x v="0"/>
  </r>
  <r>
    <s v="ERR1473096"/>
    <s v="sequencing batch:FC2014_048"/>
    <x v="0"/>
    <n v="11823"/>
    <s v="46, xy"/>
    <x v="2"/>
    <m/>
    <s v="No"/>
    <x v="0"/>
  </r>
  <r>
    <s v="ERR1473097"/>
    <s v="sequencing batch:FC2014_048"/>
    <x v="0"/>
    <n v="11826"/>
    <s v="46, xx"/>
    <x v="2"/>
    <m/>
    <s v="No"/>
    <x v="0"/>
  </r>
  <r>
    <s v="ERR1473098"/>
    <s v="sequencing batch:FC2014_048"/>
    <x v="0"/>
    <n v="11827"/>
    <s v="46, xx"/>
    <x v="2"/>
    <m/>
    <s v="No"/>
    <x v="0"/>
  </r>
  <r>
    <s v="ERR1473099"/>
    <s v="sequencing batch:FC2014_048"/>
    <x v="0"/>
    <n v="11846"/>
    <s v="46, xx"/>
    <x v="2"/>
    <m/>
    <s v="No"/>
    <x v="0"/>
  </r>
  <r>
    <s v="ERR1473100"/>
    <s v="sequencing batch:FC2014_048"/>
    <x v="0"/>
    <n v="11884"/>
    <s v="46, xx"/>
    <x v="2"/>
    <m/>
    <s v="No"/>
    <x v="0"/>
  </r>
  <r>
    <s v="ERR1473101"/>
    <s v="sequencing batch:FC2014_048"/>
    <x v="0"/>
    <n v="11918"/>
    <s v="46, xx"/>
    <x v="2"/>
    <m/>
    <s v="No"/>
    <x v="0"/>
  </r>
  <r>
    <s v="ERR1473102"/>
    <s v="sequencing batch:FC2014_045"/>
    <x v="2"/>
    <n v="11845"/>
    <s v="46, xy"/>
    <x v="2"/>
    <m/>
    <s v="Yes"/>
    <x v="1"/>
  </r>
  <r>
    <s v="ERR1473103"/>
    <s v="sequencing batch:FC2014_045"/>
    <x v="2"/>
    <n v="11851"/>
    <s v="46, xx"/>
    <x v="2"/>
    <m/>
    <s v="Yes"/>
    <x v="1"/>
  </r>
  <r>
    <s v="ERR1473104"/>
    <s v="sequencing batch:FC2014_045"/>
    <x v="2"/>
    <n v="11873"/>
    <s v="46, xx"/>
    <x v="2"/>
    <m/>
    <s v="Yes"/>
    <x v="1"/>
  </r>
  <r>
    <s v="ERR1473105"/>
    <s v="sequencing batch:FC2014_081"/>
    <x v="2"/>
    <n v="11912"/>
    <s v="46, xy"/>
    <x v="2"/>
    <m/>
    <s v="Yes"/>
    <x v="1"/>
  </r>
  <r>
    <s v="ERR1473106"/>
    <s v="sequencing batch:FC2014_050"/>
    <x v="3"/>
    <n v="11832"/>
    <s v="46, xx"/>
    <x v="2"/>
    <m/>
    <s v="Yes"/>
    <x v="0"/>
  </r>
  <r>
    <s v="ERR1473107"/>
    <s v="sequencing batch:FC2014_050"/>
    <x v="3"/>
    <n v="11830"/>
    <s v="46, xx"/>
    <x v="2"/>
    <m/>
    <s v="Yes"/>
    <x v="0"/>
  </r>
  <r>
    <s v="ERR1473108"/>
    <s v="sequencing batch:FC2014_050"/>
    <x v="4"/>
    <n v="11907"/>
    <s v="46, xx"/>
    <x v="2"/>
    <s v="right"/>
    <s v="Yes"/>
    <x v="2"/>
  </r>
  <r>
    <s v="ERR1473109"/>
    <s v="sequencing batch:FC2014_089"/>
    <x v="5"/>
    <n v="1923"/>
    <s v="46, xx"/>
    <x v="2"/>
    <m/>
    <s v="Yes"/>
    <x v="3"/>
  </r>
  <r>
    <s v="ERR1473110"/>
    <s v="sequencing batch:FC2014_058"/>
    <x v="5"/>
    <n v="11947"/>
    <s v="46, xx"/>
    <x v="2"/>
    <m/>
    <s v="Yes"/>
    <x v="3"/>
  </r>
  <r>
    <s v="ERR1473111"/>
    <s v="sequencing batch:FC2014_058"/>
    <x v="9"/>
    <n v="11854"/>
    <s v="46, xy"/>
    <x v="2"/>
    <m/>
    <s v="No"/>
    <x v="7"/>
  </r>
  <r>
    <s v="ERR1473112"/>
    <s v="sequencing batch:FC2014_065"/>
    <x v="9"/>
    <n v="11834"/>
    <s v="46, xy"/>
    <x v="2"/>
    <m/>
    <s v="Yes"/>
    <x v="7"/>
  </r>
  <r>
    <s v="ERR1473113"/>
    <s v="sequencing batch:FC2014_065"/>
    <x v="9"/>
    <n v="1102"/>
    <s v="46, xx"/>
    <x v="2"/>
    <m/>
    <s v="Yes"/>
    <x v="7"/>
  </r>
  <r>
    <s v="ERR1473114"/>
    <s v="sequencing batch:FC2014_065"/>
    <x v="9"/>
    <n v="11885"/>
    <s v="46, xy"/>
    <x v="2"/>
    <m/>
    <s v="Yes"/>
    <x v="7"/>
  </r>
  <r>
    <s v="ERR1473115"/>
    <s v="sequencing batch:FC2014_065"/>
    <x v="6"/>
    <n v="11602"/>
    <s v="46, xy"/>
    <x v="2"/>
    <m/>
    <s v="Yes"/>
    <x v="4"/>
  </r>
  <r>
    <s v="ERR1473116"/>
    <s v="sequencing batch:FC2014_075"/>
    <x v="6"/>
    <n v="11833"/>
    <s v="46, xx"/>
    <x v="2"/>
    <m/>
    <s v="Yes"/>
    <x v="4"/>
  </r>
  <r>
    <s v="ERR1473117"/>
    <s v="sequencing batch:FC2014_089"/>
    <x v="6"/>
    <n v="11930"/>
    <s v="46, xx"/>
    <x v="2"/>
    <m/>
    <s v="Yes"/>
    <x v="4"/>
  </r>
  <r>
    <s v="ERR1473118"/>
    <s v="sequencing batch:FC2014_089"/>
    <x v="6"/>
    <n v="11942"/>
    <s v="46, xx"/>
    <x v="2"/>
    <m/>
    <s v="Yes"/>
    <x v="4"/>
  </r>
  <r>
    <s v="ERR1473119"/>
    <s v="sequencing batch:FC2014_065"/>
    <x v="7"/>
    <n v="1308"/>
    <s v="46, xx"/>
    <x v="2"/>
    <m/>
    <s v="Yes"/>
    <x v="5"/>
  </r>
  <r>
    <s v="ERR1473120"/>
    <s v="sequencing batch:FC2014_065"/>
    <x v="7"/>
    <n v="11841"/>
    <s v="46, xy"/>
    <x v="2"/>
    <m/>
    <s v="Yes"/>
    <x v="5"/>
  </r>
  <r>
    <s v="ERR1473121"/>
    <s v="sequencing batch:FC2014_073"/>
    <x v="8"/>
    <n v="11921"/>
    <s v="46, xy"/>
    <x v="2"/>
    <m/>
    <s v="Yes"/>
    <x v="6"/>
  </r>
  <r>
    <s v="ERR1473151"/>
    <s v="sequencing batch:FC2014_038"/>
    <x v="0"/>
    <n v="11826"/>
    <s v="46, xx"/>
    <x v="3"/>
    <s v="left"/>
    <s v="Yes"/>
    <x v="0"/>
  </r>
  <r>
    <s v="ERR1473152"/>
    <s v="sequencing batch:FC2014_038"/>
    <x v="0"/>
    <n v="11826"/>
    <s v="46, xx"/>
    <x v="3"/>
    <s v="right"/>
    <s v="Yes"/>
    <x v="0"/>
  </r>
  <r>
    <s v="ERR1473153"/>
    <s v="sequencing batch:FC2014_038"/>
    <x v="0"/>
    <n v="11827"/>
    <s v="46, xx"/>
    <x v="3"/>
    <s v="right"/>
    <s v="Yes"/>
    <x v="0"/>
  </r>
  <r>
    <s v="ERR1473154"/>
    <s v="sequencing batch:FC2014_030"/>
    <x v="0"/>
    <n v="11827"/>
    <s v="46, xx"/>
    <x v="3"/>
    <s v="left"/>
    <s v="Yes"/>
    <x v="0"/>
  </r>
  <r>
    <s v="ERR1473155"/>
    <s v="sequencing batch:FC2014_030"/>
    <x v="0"/>
    <n v="11846"/>
    <s v="46, xx"/>
    <x v="3"/>
    <s v="left"/>
    <s v="Yes"/>
    <x v="0"/>
  </r>
  <r>
    <s v="ERR1473156"/>
    <s v="sequencing batch:FC2014_030"/>
    <x v="0"/>
    <n v="11846"/>
    <s v="46, xx"/>
    <x v="3"/>
    <s v="right"/>
    <s v="Yes"/>
    <x v="0"/>
  </r>
  <r>
    <s v="ERR1473157"/>
    <s v="sequencing batch:FC2014_030"/>
    <x v="0"/>
    <n v="11918"/>
    <s v="46, xx"/>
    <x v="3"/>
    <s v="left"/>
    <s v="Yes"/>
    <x v="0"/>
  </r>
  <r>
    <s v="ERR1473158"/>
    <s v="sequencing batch:FC2014_030"/>
    <x v="0"/>
    <n v="11918"/>
    <s v="46, xx"/>
    <x v="3"/>
    <s v="right"/>
    <s v="Yes"/>
    <x v="0"/>
  </r>
  <r>
    <s v="ERR1473159"/>
    <s v="sequencing batch:FC2014_035"/>
    <x v="1"/>
    <n v="11831"/>
    <s v="46, xy"/>
    <x v="3"/>
    <s v="left"/>
    <s v="Yes"/>
    <x v="0"/>
  </r>
  <r>
    <s v="ERR1473160"/>
    <s v="sequencing batch:FC2014_035"/>
    <x v="1"/>
    <n v="11831"/>
    <s v="46, xy"/>
    <x v="3"/>
    <s v="right"/>
    <s v="Yes"/>
    <x v="0"/>
  </r>
  <r>
    <s v="ERR1473161"/>
    <s v="sequencing batch:FC2014_037"/>
    <x v="1"/>
    <n v="11858"/>
    <s v="46, xy"/>
    <x v="3"/>
    <m/>
    <s v="Yes"/>
    <x v="0"/>
  </r>
  <r>
    <s v="ERR1473162"/>
    <s v="sequencing batch:FC2014_043"/>
    <x v="2"/>
    <n v="11851"/>
    <s v="46, xx"/>
    <x v="3"/>
    <s v="right"/>
    <s v="Yes"/>
    <x v="1"/>
  </r>
  <r>
    <s v="ERR1473163"/>
    <s v="sequencing batch:FC2014_043"/>
    <x v="2"/>
    <n v="11851"/>
    <s v="46, xx"/>
    <x v="3"/>
    <s v="right"/>
    <s v="Yes"/>
    <x v="1"/>
  </r>
  <r>
    <s v="ERR1473164"/>
    <s v="sequencing batch:FC2014_066"/>
    <x v="2"/>
    <n v="11851"/>
    <s v="46, xx"/>
    <x v="3"/>
    <s v="left"/>
    <s v="Yes"/>
    <x v="1"/>
  </r>
  <r>
    <s v="ERR1473165"/>
    <s v="sequencing batch:FC2014_066"/>
    <x v="2"/>
    <n v="11851"/>
    <s v="46, xx"/>
    <x v="3"/>
    <s v="left"/>
    <s v="Yes"/>
    <x v="1"/>
  </r>
  <r>
    <s v="ERR1473166"/>
    <s v="sequencing batch:FC2014_066"/>
    <x v="2"/>
    <n v="11851"/>
    <s v="46, xx"/>
    <x v="3"/>
    <s v="right"/>
    <s v="Yes"/>
    <x v="1"/>
  </r>
  <r>
    <s v="ERR1473167"/>
    <s v="sequencing batch:FC2014_066"/>
    <x v="2"/>
    <n v="11851"/>
    <s v="46, xx"/>
    <x v="3"/>
    <s v="right"/>
    <s v="Yes"/>
    <x v="1"/>
  </r>
  <r>
    <s v="ERR1473168"/>
    <s v="sequencing batch:FC2014_066"/>
    <x v="2"/>
    <n v="11851"/>
    <s v="46, xx"/>
    <x v="3"/>
    <s v="right"/>
    <s v="Yes"/>
    <x v="1"/>
  </r>
  <r>
    <s v="ERR1473169"/>
    <s v="sequencing batch:FC2014_150"/>
    <x v="3"/>
    <n v="11832"/>
    <s v="46, xx"/>
    <x v="3"/>
    <s v="right"/>
    <s v="Yes"/>
    <x v="0"/>
  </r>
  <r>
    <s v="ERR1473170"/>
    <s v="sequencing batch:FC2014_150"/>
    <x v="3"/>
    <n v="11832"/>
    <s v="46, xx"/>
    <x v="3"/>
    <s v="left"/>
    <s v="Yes"/>
    <x v="0"/>
  </r>
  <r>
    <s v="ERR1473171"/>
    <s v="sequencing batch:FC2014_071"/>
    <x v="3"/>
    <n v="11830"/>
    <s v="46, xx"/>
    <x v="3"/>
    <s v="left"/>
    <s v="Yes"/>
    <x v="0"/>
  </r>
  <r>
    <s v="ERR1473172"/>
    <s v="sequencing batch:FC2014_054, FC2014_117"/>
    <x v="0"/>
    <n v="11920"/>
    <s v="46, xy"/>
    <x v="3"/>
    <s v="left"/>
    <s v="Yes"/>
    <x v="0"/>
  </r>
  <r>
    <s v="ERR1473173"/>
    <s v="sequencing batch:FC2014_054, FC2014_117"/>
    <x v="0"/>
    <n v="11920"/>
    <s v="46, xy"/>
    <x v="3"/>
    <s v="left"/>
    <s v="Yes"/>
    <x v="0"/>
  </r>
  <r>
    <s v="ERR1473174"/>
    <s v="sequencing batch:FC2014_055"/>
    <x v="5"/>
    <n v="11892"/>
    <s v="46, xy"/>
    <x v="3"/>
    <m/>
    <s v="Yes"/>
    <x v="3"/>
  </r>
  <r>
    <s v="ERR1473175"/>
    <s v="sequencing batch:FC2014_047"/>
    <x v="6"/>
    <n v="11656"/>
    <s v="46, xx"/>
    <x v="3"/>
    <s v="left"/>
    <s v="Yes"/>
    <x v="4"/>
  </r>
  <r>
    <s v="ERR1473176"/>
    <s v="sequencing batch:FC2014_044"/>
    <x v="7"/>
    <n v="11841"/>
    <s v="46, xy"/>
    <x v="3"/>
    <s v="left"/>
    <s v="Yes"/>
    <x v="5"/>
  </r>
  <r>
    <s v="ERR1473177"/>
    <s v="sequencing batch:FC2014_049"/>
    <x v="14"/>
    <n v="11121"/>
    <s v="46, xy"/>
    <x v="3"/>
    <m/>
    <s v="Yes"/>
    <x v="0"/>
  </r>
  <r>
    <s v="ERR1473178"/>
    <s v="sequencing batch:FC2014_073"/>
    <x v="4"/>
    <n v="1107"/>
    <s v="unknown"/>
    <x v="3"/>
    <s v="right"/>
    <s v="Yes"/>
    <x v="2"/>
  </r>
  <r>
    <s v="ERR1473179"/>
    <s v="sequencing batch:FC2014_054"/>
    <x v="20"/>
    <n v="1117"/>
    <s v="unknown"/>
    <x v="3"/>
    <s v="left"/>
    <s v="Yes"/>
    <x v="14"/>
  </r>
  <r>
    <s v="ERR1473180"/>
    <s v="sequencing batch:FC2014_055"/>
    <x v="5"/>
    <n v="1923"/>
    <s v="46, xx"/>
    <x v="3"/>
    <s v="right"/>
    <s v="Yes"/>
    <x v="3"/>
  </r>
  <r>
    <s v="ERR1473181"/>
    <s v="sequencing batch:FC2014_055"/>
    <x v="5"/>
    <n v="1923"/>
    <s v="46, xx"/>
    <x v="3"/>
    <s v="left"/>
    <s v="Yes"/>
    <x v="3"/>
  </r>
  <r>
    <s v="ERR1473182"/>
    <s v="sequencing batch:FC2014_055"/>
    <x v="9"/>
    <n v="11834"/>
    <s v="46, xy"/>
    <x v="3"/>
    <s v="right"/>
    <s v="Yes"/>
    <x v="7"/>
  </r>
  <r>
    <s v="ERR1473183"/>
    <s v="sequencing batch:FC2014_032"/>
    <x v="2"/>
    <n v="11820"/>
    <s v="46, xx"/>
    <x v="3"/>
    <s v="right"/>
    <s v="Yes"/>
    <x v="1"/>
  </r>
  <r>
    <s v="ERR1473184"/>
    <s v="sequencing batch:FC2014_032"/>
    <x v="2"/>
    <n v="11820"/>
    <s v="46, xx"/>
    <x v="3"/>
    <s v="left"/>
    <s v="Yes"/>
    <x v="1"/>
  </r>
  <r>
    <s v="ERR1473185"/>
    <s v="sequencing batch:FC2014_055"/>
    <x v="9"/>
    <n v="1835"/>
    <s v="46, xy"/>
    <x v="3"/>
    <m/>
    <s v="Yes"/>
    <x v="7"/>
  </r>
  <r>
    <s v="ERR1473186"/>
    <s v="sequencing batch:FC2014_040"/>
    <x v="2"/>
    <n v="11845"/>
    <s v="46, xy"/>
    <x v="3"/>
    <s v="left"/>
    <s v="Yes"/>
    <x v="1"/>
  </r>
  <r>
    <s v="ERR1473187"/>
    <s v="sequencing batch:FC2014_043"/>
    <x v="2"/>
    <n v="11845"/>
    <s v="46, xy"/>
    <x v="3"/>
    <s v="right"/>
    <s v="Yes"/>
    <x v="1"/>
  </r>
  <r>
    <s v="ERR1473188"/>
    <s v="sequencing batch:FC2014_066"/>
    <x v="2"/>
    <n v="11873"/>
    <s v="46, xx"/>
    <x v="3"/>
    <s v="right"/>
    <s v="Yes"/>
    <x v="1"/>
  </r>
  <r>
    <s v="ERR1473189"/>
    <s v="sequencing batch:FC2014_075"/>
    <x v="2"/>
    <n v="11873"/>
    <s v="46, xx"/>
    <x v="3"/>
    <s v="left"/>
    <s v="Yes"/>
    <x v="1"/>
  </r>
  <r>
    <s v="ERR1473190"/>
    <s v="sequencing batch:FC2014_054"/>
    <x v="4"/>
    <n v="11907"/>
    <s v="46, xx"/>
    <x v="3"/>
    <s v="right"/>
    <s v="Yes"/>
    <x v="2"/>
  </r>
  <r>
    <s v="ERR1473191"/>
    <s v="sequencing batch:FC2014_055"/>
    <x v="13"/>
    <n v="11900"/>
    <s v="46, xy"/>
    <x v="3"/>
    <m/>
    <s v="Yes"/>
    <x v="9"/>
  </r>
  <r>
    <s v="ERR1473192"/>
    <s v="sequencing batch:FC2014_058"/>
    <x v="9"/>
    <n v="11834"/>
    <s v="46, xy"/>
    <x v="3"/>
    <s v="left"/>
    <s v="Yes"/>
    <x v="7"/>
  </r>
  <r>
    <s v="ERR1473193"/>
    <s v="sequencing batch:FC2014_058"/>
    <x v="9"/>
    <n v="11885"/>
    <s v="46, xy"/>
    <x v="3"/>
    <s v="left"/>
    <s v="Yes"/>
    <x v="7"/>
  </r>
  <r>
    <s v="ERR1473194"/>
    <s v="sequencing batch:FC2014_058"/>
    <x v="9"/>
    <n v="11885"/>
    <s v="46, xy"/>
    <x v="3"/>
    <s v="right"/>
    <s v="Yes"/>
    <x v="7"/>
  </r>
  <r>
    <s v="ERR1473195"/>
    <s v="sequencing batch:FC2014_044"/>
    <x v="6"/>
    <n v="11833"/>
    <s v="46, xx"/>
    <x v="3"/>
    <s v="right"/>
    <s v="Yes"/>
    <x v="4"/>
  </r>
  <r>
    <s v="ERR1473196"/>
    <s v="sequencing batch:FC2014_075"/>
    <x v="6"/>
    <n v="11930"/>
    <s v="46, xx"/>
    <x v="3"/>
    <s v="right"/>
    <s v="Yes"/>
    <x v="4"/>
  </r>
  <r>
    <s v="ERR1473197"/>
    <s v="sequencing batch:FC2014_044"/>
    <x v="6"/>
    <n v="11942"/>
    <s v="46, xx"/>
    <x v="3"/>
    <s v="left"/>
    <s v="Yes"/>
    <x v="4"/>
  </r>
  <r>
    <s v="ERR1473198"/>
    <s v="sequencing batch:FC2014_044"/>
    <x v="7"/>
    <n v="11841"/>
    <s v="46, xy"/>
    <x v="3"/>
    <s v="right"/>
    <s v="Yes"/>
    <x v="5"/>
  </r>
  <r>
    <s v="ERR1473199"/>
    <s v="sequencing batch:FC2014_044"/>
    <x v="8"/>
    <n v="11921"/>
    <s v="46, xy"/>
    <x v="3"/>
    <s v="left"/>
    <s v="Yes"/>
    <x v="6"/>
  </r>
  <r>
    <s v="ERR1473200"/>
    <s v="sequencing batch:FC2014_081"/>
    <x v="9"/>
    <n v="12007"/>
    <s v="46, xy"/>
    <x v="3"/>
    <s v="left"/>
    <s v="Yes"/>
    <x v="7"/>
  </r>
  <r>
    <s v="ERR1473201"/>
    <s v="sequencing batch:FC2014_081"/>
    <x v="6"/>
    <n v="11930"/>
    <s v="46, xx"/>
    <x v="3"/>
    <s v="left"/>
    <s v="Yes"/>
    <x v="4"/>
  </r>
  <r>
    <s v="ERR1473202"/>
    <s v="sequencing batch:FC2014_089"/>
    <x v="9"/>
    <n v="12007"/>
    <s v="46, xy"/>
    <x v="3"/>
    <s v="right"/>
    <s v="Yes"/>
    <x v="7"/>
  </r>
  <r>
    <s v="ERR1473203"/>
    <s v="sequencing batch:FC2014_054"/>
    <x v="20"/>
    <n v="1117"/>
    <s v="unknown"/>
    <x v="3"/>
    <s v="left"/>
    <s v="Yes"/>
    <x v="14"/>
  </r>
  <r>
    <s v="ERR1473204"/>
    <s v="sequencing batch:FC2014_055"/>
    <x v="5"/>
    <n v="1923"/>
    <s v="46, xx"/>
    <x v="3"/>
    <s v="right"/>
    <s v="Yes"/>
    <x v="3"/>
  </r>
  <r>
    <s v="ERR1473205"/>
    <s v="sequencing batch:FC2014_058"/>
    <x v="5"/>
    <n v="1923"/>
    <s v="46, xx"/>
    <x v="3"/>
    <s v="left"/>
    <s v="Yes"/>
    <x v="3"/>
  </r>
  <r>
    <s v="ERR1473206"/>
    <s v="sequencing batch:FC2014_058"/>
    <x v="9"/>
    <n v="11834"/>
    <s v="46, xy"/>
    <x v="3"/>
    <s v="right"/>
    <s v="Yes"/>
    <x v="7"/>
  </r>
  <r>
    <s v="ERR1473207"/>
    <s v="sequencing batch:FC2014_055"/>
    <x v="9"/>
    <n v="1835"/>
    <s v="46, xy"/>
    <x v="3"/>
    <m/>
    <s v="Yes"/>
    <x v="7"/>
  </r>
  <r>
    <s v="ERR1473208"/>
    <s v="sequencing batch:FC2014_054"/>
    <x v="4"/>
    <n v="11907"/>
    <s v="46, xx"/>
    <x v="3"/>
    <s v="right"/>
    <s v="Yes"/>
    <x v="2"/>
  </r>
  <r>
    <s v="ERR1473209"/>
    <s v="sequencing batch:FC2014_055"/>
    <x v="13"/>
    <n v="11900"/>
    <s v="46, xy"/>
    <x v="3"/>
    <m/>
    <s v="Yes"/>
    <x v="9"/>
  </r>
  <r>
    <s v="ERR1473210"/>
    <s v="sequencing batch:FC2014_043"/>
    <x v="9"/>
    <n v="11885"/>
    <s v="46, xy"/>
    <x v="3"/>
    <s v="right"/>
    <s v="Yes"/>
    <x v="7"/>
  </r>
  <r>
    <s v="ERR1473211"/>
    <s v="sequencing batch:FC2014_044"/>
    <x v="6"/>
    <n v="11833"/>
    <s v="46, xx"/>
    <x v="3"/>
    <s v="right"/>
    <s v="Yes"/>
    <x v="4"/>
  </r>
  <r>
    <s v="ERR1473212"/>
    <s v="sequencing batch:FC2014_044"/>
    <x v="7"/>
    <n v="11841"/>
    <s v="46, xy"/>
    <x v="3"/>
    <s v="right"/>
    <s v="Yes"/>
    <x v="5"/>
  </r>
  <r>
    <s v="ERR1473213"/>
    <s v="sequencing batch:FC2014_044"/>
    <x v="8"/>
    <n v="11921"/>
    <s v="46, xy"/>
    <x v="3"/>
    <s v="left"/>
    <s v="Yes"/>
    <x v="6"/>
  </r>
  <r>
    <s v="ERR1473214"/>
    <s v="sequencing batch:FC2014_080"/>
    <x v="2"/>
    <n v="11851"/>
    <s v="46, xx"/>
    <x v="3"/>
    <s v="left"/>
    <s v="Yes"/>
    <x v="1"/>
  </r>
  <r>
    <s v="ERR1473215"/>
    <s v="sequencing batch:FC2014_080"/>
    <x v="9"/>
    <n v="12007"/>
    <s v="46, xy"/>
    <x v="3"/>
    <s v="right"/>
    <s v="Yes"/>
    <x v="7"/>
  </r>
  <r>
    <s v="ERR1473216"/>
    <s v="sequencing batch:FC2014_081"/>
    <x v="6"/>
    <n v="11930"/>
    <s v="46, xx"/>
    <x v="3"/>
    <s v="left"/>
    <s v="Yes"/>
    <x v="4"/>
  </r>
  <r>
    <s v="ERR1473217"/>
    <s v="sequencing batch:FC2014_081"/>
    <x v="6"/>
    <n v="11930"/>
    <s v="46, xx"/>
    <x v="3"/>
    <s v="right"/>
    <s v="Yes"/>
    <x v="4"/>
  </r>
  <r>
    <s v="ERR1473218"/>
    <s v="sequencing batch:FC2014_054"/>
    <x v="4"/>
    <n v="1107"/>
    <s v="unknown"/>
    <x v="3"/>
    <s v="right"/>
    <s v="Yes"/>
    <x v="2"/>
  </r>
  <r>
    <s v="ERR1473219"/>
    <s v="sequencing batch:FC2014_054"/>
    <x v="20"/>
    <n v="1117"/>
    <s v="unknown"/>
    <x v="3"/>
    <s v="left"/>
    <s v="Yes"/>
    <x v="14"/>
  </r>
  <r>
    <s v="ERR1473220"/>
    <s v="sequencing batch:FC2014_058"/>
    <x v="5"/>
    <n v="1923"/>
    <s v="46, xx"/>
    <x v="3"/>
    <s v="right"/>
    <s v="Yes"/>
    <x v="3"/>
  </r>
  <r>
    <s v="ERR1473221"/>
    <s v="sequencing batch:FC2014_058"/>
    <x v="9"/>
    <n v="11834"/>
    <s v="46, xy"/>
    <x v="3"/>
    <s v="right"/>
    <s v="Yes"/>
    <x v="7"/>
  </r>
  <r>
    <s v="ERR1473222"/>
    <s v="sequencing batch:FC2014_035"/>
    <x v="2"/>
    <n v="11820"/>
    <s v="46, xx"/>
    <x v="3"/>
    <s v="left"/>
    <s v="Yes"/>
    <x v="1"/>
  </r>
  <r>
    <s v="ERR1473223"/>
    <s v="sequencing batch:FC2014_055"/>
    <x v="9"/>
    <n v="1835"/>
    <s v="46, xy"/>
    <x v="3"/>
    <m/>
    <s v="Yes"/>
    <x v="7"/>
  </r>
  <r>
    <s v="ERR1473224"/>
    <s v="sequencing batch:FC2014_081"/>
    <x v="2"/>
    <n v="11820"/>
    <s v="46, xy"/>
    <x v="3"/>
    <s v="right"/>
    <s v="Yes"/>
    <x v="1"/>
  </r>
  <r>
    <s v="ERR1473225"/>
    <s v="sequencing batch:FC2014_043"/>
    <x v="2"/>
    <n v="11845"/>
    <s v="46, xy"/>
    <x v="3"/>
    <s v="left"/>
    <s v="Yes"/>
    <x v="1"/>
  </r>
  <r>
    <s v="ERR1473226"/>
    <s v="sequencing batch:FC2014_066"/>
    <x v="2"/>
    <n v="11873"/>
    <s v="46, xx"/>
    <x v="3"/>
    <s v="left"/>
    <s v="Yes"/>
    <x v="1"/>
  </r>
  <r>
    <s v="ERR1473227"/>
    <s v="sequencing batch:FC2014_054"/>
    <x v="4"/>
    <n v="11907"/>
    <s v="46, xx"/>
    <x v="3"/>
    <s v="right"/>
    <s v="Yes"/>
    <x v="2"/>
  </r>
  <r>
    <s v="ERR1473228"/>
    <s v="sequencing batch:FC2014_043"/>
    <x v="9"/>
    <n v="11885"/>
    <s v="46, xy"/>
    <x v="3"/>
    <s v="right"/>
    <s v="Yes"/>
    <x v="7"/>
  </r>
  <r>
    <s v="ERR1473229"/>
    <s v="sequencing batch:FC2014_043"/>
    <x v="6"/>
    <n v="11833"/>
    <s v="46, xx"/>
    <x v="3"/>
    <s v="right"/>
    <s v="Yes"/>
    <x v="4"/>
  </r>
  <r>
    <s v="ERR1473230"/>
    <s v="sequencing batch:FC2014_080"/>
    <x v="2"/>
    <n v="11851"/>
    <s v="46, xx"/>
    <x v="3"/>
    <s v="left"/>
    <s v="Yes"/>
    <x v="1"/>
  </r>
  <r>
    <s v="ERR1473231"/>
    <s v="sequencing batch:FC2014_080"/>
    <x v="9"/>
    <n v="12007"/>
    <s v="46, xy"/>
    <x v="3"/>
    <s v="right"/>
    <s v="Yes"/>
    <x v="7"/>
  </r>
  <r>
    <s v="ERR1473232"/>
    <s v="sequencing batch:FC2014_081"/>
    <x v="6"/>
    <n v="11930"/>
    <s v="46, xx"/>
    <x v="3"/>
    <s v="left"/>
    <s v="Yes"/>
    <x v="4"/>
  </r>
  <r>
    <s v="ERR1473233"/>
    <s v="sequencing batch:FC2014_081"/>
    <x v="6"/>
    <n v="11930"/>
    <s v="46, xx"/>
    <x v="3"/>
    <s v="right"/>
    <s v="Yes"/>
    <x v="4"/>
  </r>
  <r>
    <s v="ERR1473234"/>
    <s v="sequencing batch:FC2014_073"/>
    <x v="4"/>
    <n v="1107"/>
    <s v="unknown"/>
    <x v="3"/>
    <s v="right"/>
    <s v="Yes"/>
    <x v="2"/>
  </r>
  <r>
    <s v="ERR1473235"/>
    <s v="sequencing batch:FC2014_054"/>
    <x v="4"/>
    <n v="1107"/>
    <s v="unknown"/>
    <x v="3"/>
    <s v="right"/>
    <s v="Yes"/>
    <x v="2"/>
  </r>
  <r>
    <s v="ERR1473236"/>
    <s v="sequencing batch:FC2014_054"/>
    <x v="20"/>
    <n v="1117"/>
    <s v="unknown"/>
    <x v="3"/>
    <s v="left"/>
    <s v="Yes"/>
    <x v="14"/>
  </r>
  <r>
    <s v="ERR1473237"/>
    <s v="sequencing batch:FC2014_032"/>
    <x v="2"/>
    <n v="11820"/>
    <s v="46, xx"/>
    <x v="3"/>
    <s v="right"/>
    <s v="Yes"/>
    <x v="1"/>
  </r>
  <r>
    <s v="ERR1473238"/>
    <s v="sequencing batch:FC2014_035"/>
    <x v="2"/>
    <n v="11820"/>
    <s v="46, xx"/>
    <x v="3"/>
    <s v="left"/>
    <s v="Yes"/>
    <x v="1"/>
  </r>
  <r>
    <s v="ERR1473239"/>
    <s v="sequencing batch:FC2014_058"/>
    <x v="9"/>
    <n v="1835"/>
    <s v="46, xy"/>
    <x v="3"/>
    <m/>
    <s v="Yes"/>
    <x v="7"/>
  </r>
  <r>
    <s v="ERR1473240"/>
    <s v="sequencing batch:FC2014_043"/>
    <x v="2"/>
    <n v="11845"/>
    <s v="46, xy"/>
    <x v="3"/>
    <s v="left"/>
    <s v="Yes"/>
    <x v="1"/>
  </r>
  <r>
    <s v="ERR1473241"/>
    <s v="sequencing batch:FC2014_066"/>
    <x v="2"/>
    <n v="11873"/>
    <s v="46, xx"/>
    <x v="3"/>
    <s v="left"/>
    <s v="Yes"/>
    <x v="1"/>
  </r>
  <r>
    <s v="ERR1473242"/>
    <s v="sequencing batch:FC2014_054"/>
    <x v="4"/>
    <n v="11907"/>
    <s v="46, xx"/>
    <x v="3"/>
    <s v="right"/>
    <s v="Yes"/>
    <x v="2"/>
  </r>
  <r>
    <s v="ERR1473243"/>
    <s v="sequencing batch:FC2014_055"/>
    <x v="13"/>
    <n v="11900"/>
    <s v="46, xy"/>
    <x v="3"/>
    <m/>
    <s v="Yes"/>
    <x v="9"/>
  </r>
  <r>
    <s v="ERR1473244"/>
    <s v="sequencing batch:FC2014_058"/>
    <x v="9"/>
    <n v="11834"/>
    <s v="46, xy"/>
    <x v="3"/>
    <s v="left"/>
    <s v="Yes"/>
    <x v="7"/>
  </r>
  <r>
    <s v="ERR1473245"/>
    <s v="sequencing batch:FC2014_043"/>
    <x v="9"/>
    <n v="11885"/>
    <s v="46, xy"/>
    <x v="3"/>
    <s v="right"/>
    <s v="Yes"/>
    <x v="7"/>
  </r>
  <r>
    <s v="ERR1473246"/>
    <s v="sequencing batch:FC2014_047"/>
    <x v="6"/>
    <n v="11833"/>
    <s v="46, xx"/>
    <x v="3"/>
    <s v="right"/>
    <s v="Yes"/>
    <x v="4"/>
  </r>
  <r>
    <s v="ERR1473247"/>
    <s v="sequencing batch:FC2014_080"/>
    <x v="2"/>
    <n v="11851"/>
    <s v="46, xx"/>
    <x v="3"/>
    <s v="left"/>
    <s v="Yes"/>
    <x v="1"/>
  </r>
  <r>
    <s v="ERR1473248"/>
    <s v="sequencing batch:FC2014_080"/>
    <x v="9"/>
    <n v="12007"/>
    <s v="46, xy"/>
    <x v="3"/>
    <s v="left"/>
    <s v="Yes"/>
    <x v="7"/>
  </r>
  <r>
    <s v="ERR1473249"/>
    <s v="sequencing batch:FC2014_081"/>
    <x v="6"/>
    <n v="11930"/>
    <s v="46, xx"/>
    <x v="3"/>
    <s v="left"/>
    <s v="Yes"/>
    <x v="4"/>
  </r>
  <r>
    <s v="ERR1473250"/>
    <s v="sequencing batch:FC2014_081"/>
    <x v="6"/>
    <n v="11930"/>
    <s v="46, xx"/>
    <x v="3"/>
    <s v="right"/>
    <s v="Yes"/>
    <x v="4"/>
  </r>
  <r>
    <s v="ERR1473251"/>
    <s v="sequencing batch:FC2014_054"/>
    <x v="20"/>
    <n v="1117"/>
    <s v="unknown"/>
    <x v="3"/>
    <s v="left"/>
    <s v="Yes"/>
    <x v="14"/>
  </r>
  <r>
    <s v="ERR1473252"/>
    <s v="sequencing batch:FC2014_040"/>
    <x v="2"/>
    <n v="11845"/>
    <s v="46, xy"/>
    <x v="3"/>
    <s v="left"/>
    <s v="Yes"/>
    <x v="1"/>
  </r>
  <r>
    <s v="ERR1473253"/>
    <s v="sequencing batch:FC2014_043"/>
    <x v="2"/>
    <n v="11845"/>
    <s v="46, xy"/>
    <x v="3"/>
    <s v="right"/>
    <s v="Yes"/>
    <x v="1"/>
  </r>
  <r>
    <s v="ERR1473254"/>
    <s v="sequencing batch:FC2014_066"/>
    <x v="2"/>
    <n v="11873"/>
    <s v="46, xx"/>
    <x v="3"/>
    <s v="right"/>
    <s v="Yes"/>
    <x v="1"/>
  </r>
  <r>
    <s v="ERR1473255"/>
    <s v="sequencing batch:FC2014_066"/>
    <x v="2"/>
    <n v="11873"/>
    <s v="46, xx"/>
    <x v="3"/>
    <s v="left"/>
    <s v="Yes"/>
    <x v="1"/>
  </r>
  <r>
    <s v="ERR1473256"/>
    <s v="sequencing batch:FC2014_054"/>
    <x v="4"/>
    <n v="11907"/>
    <s v="46, xx"/>
    <x v="3"/>
    <s v="right"/>
    <s v="Yes"/>
    <x v="2"/>
  </r>
  <r>
    <s v="ERR1473257"/>
    <s v="sequencing batch:FC2014_055"/>
    <x v="13"/>
    <n v="11900"/>
    <s v="46, xy"/>
    <x v="3"/>
    <m/>
    <s v="Yes"/>
    <x v="9"/>
  </r>
  <r>
    <s v="ERR1473258"/>
    <s v="sequencing batch:FC2014_058"/>
    <x v="9"/>
    <n v="11834"/>
    <s v="46, xy"/>
    <x v="3"/>
    <s v="left"/>
    <s v="Yes"/>
    <x v="7"/>
  </r>
  <r>
    <s v="ERR1473259"/>
    <s v="sequencing batch:FC2014_069"/>
    <x v="9"/>
    <n v="11834"/>
    <s v="46, xy"/>
    <x v="3"/>
    <s v="left"/>
    <s v="Yes"/>
    <x v="7"/>
  </r>
  <r>
    <s v="ERR1473260"/>
    <s v="sequencing batch:FC2014_058"/>
    <x v="9"/>
    <n v="11885"/>
    <s v="46, xy"/>
    <x v="3"/>
    <s v="left"/>
    <s v="Yes"/>
    <x v="7"/>
  </r>
  <r>
    <s v="ERR1473261"/>
    <s v="sequencing batch:FC2014_043"/>
    <x v="9"/>
    <n v="11885"/>
    <s v="46, xy"/>
    <x v="3"/>
    <s v="right"/>
    <s v="Yes"/>
    <x v="7"/>
  </r>
  <r>
    <s v="ERR1473262"/>
    <s v="sequencing batch:FC2014_047"/>
    <x v="6"/>
    <n v="11833"/>
    <s v="46, xx"/>
    <x v="3"/>
    <s v="right"/>
    <s v="Yes"/>
    <x v="4"/>
  </r>
  <r>
    <s v="ERR1473263"/>
    <s v="sequencing batch:FC2014_075"/>
    <x v="6"/>
    <n v="11930"/>
    <s v="46, xx"/>
    <x v="3"/>
    <s v="right"/>
    <s v="Yes"/>
    <x v="4"/>
  </r>
  <r>
    <s v="ERR1473264"/>
    <s v="sequencing batch:FC2014_044"/>
    <x v="7"/>
    <n v="11841"/>
    <s v="46, xy"/>
    <x v="3"/>
    <s v="right"/>
    <s v="Yes"/>
    <x v="5"/>
  </r>
  <r>
    <s v="ERR1473265"/>
    <s v="sequencing batch:FC2014_044, FC2014_117"/>
    <x v="8"/>
    <n v="11921"/>
    <s v="46, xy"/>
    <x v="3"/>
    <s v="left"/>
    <s v="Yes"/>
    <x v="6"/>
  </r>
  <r>
    <s v="ERR1473266"/>
    <s v="sequencing batch:FC2014_044, FC2014_117"/>
    <x v="8"/>
    <n v="11921"/>
    <s v="46, xy"/>
    <x v="3"/>
    <s v="left"/>
    <s v="Yes"/>
    <x v="6"/>
  </r>
  <r>
    <s v="ERR1473267"/>
    <s v="sequencing batch:FC2014_080"/>
    <x v="6"/>
    <n v="11942"/>
    <s v="46, xx"/>
    <x v="3"/>
    <s v="right"/>
    <s v="Yes"/>
    <x v="4"/>
  </r>
  <r>
    <s v="ERR1473268"/>
    <s v="sequencing batch:FC2014_080"/>
    <x v="9"/>
    <n v="12007"/>
    <s v="46, xy"/>
    <x v="3"/>
    <s v="right"/>
    <s v="Yes"/>
    <x v="7"/>
  </r>
  <r>
    <s v="ERR1473269"/>
    <s v="sequencing batch:FC2014_080"/>
    <x v="6"/>
    <n v="11930"/>
    <s v="46, xx"/>
    <x v="3"/>
    <s v="left"/>
    <s v="Yes"/>
    <x v="4"/>
  </r>
  <r>
    <s v="ERR1473270"/>
    <s v="sequencing batch:FC2014_081"/>
    <x v="9"/>
    <n v="12007"/>
    <s v="46, xy"/>
    <x v="3"/>
    <s v="left"/>
    <s v="Yes"/>
    <x v="7"/>
  </r>
  <r>
    <s v="ERR1473271"/>
    <s v="sequencing batch:FC2014_054"/>
    <x v="20"/>
    <n v="1117"/>
    <s v="unknown"/>
    <x v="3"/>
    <s v="left"/>
    <s v="Yes"/>
    <x v="14"/>
  </r>
  <r>
    <s v="ERR1473272"/>
    <s v="sequencing batch:FC2014_054"/>
    <x v="20"/>
    <n v="1117"/>
    <s v="unknown"/>
    <x v="3"/>
    <s v="left"/>
    <s v="Yes"/>
    <x v="14"/>
  </r>
  <r>
    <s v="ERR1473273"/>
    <s v="sequencing batch:FC2014_054"/>
    <x v="4"/>
    <n v="1107"/>
    <s v="unknown"/>
    <x v="3"/>
    <s v="right"/>
    <s v="Yes"/>
    <x v="2"/>
  </r>
  <r>
    <s v="ERR1473274"/>
    <s v="sequencing batch:FC2014_054"/>
    <x v="20"/>
    <n v="1117"/>
    <s v="unknown"/>
    <x v="3"/>
    <s v="left"/>
    <s v="Yes"/>
    <x v="14"/>
  </r>
  <r>
    <s v="ERR1473275"/>
    <s v="sequencing batch:FC2014_038"/>
    <x v="0"/>
    <n v="1406"/>
    <s v="46, xx"/>
    <x v="4"/>
    <m/>
    <s v="Yes"/>
    <x v="0"/>
  </r>
  <r>
    <s v="ERR1473276"/>
    <s v="sequencing batch:FC2014_038"/>
    <x v="0"/>
    <n v="11823"/>
    <s v="46, xy"/>
    <x v="4"/>
    <s v="left"/>
    <s v="Yes"/>
    <x v="0"/>
  </r>
  <r>
    <s v="ERR1473277"/>
    <s v="sequencing batch:FC2014_038, FC2014_117"/>
    <x v="0"/>
    <n v="11823"/>
    <s v="46, xy"/>
    <x v="4"/>
    <s v="right"/>
    <s v="Yes"/>
    <x v="0"/>
  </r>
  <r>
    <s v="ERR1473278"/>
    <s v="sequencing batch:FC2014_038, FC2014_117"/>
    <x v="0"/>
    <n v="11823"/>
    <s v="46, xy"/>
    <x v="4"/>
    <s v="right"/>
    <s v="Yes"/>
    <x v="0"/>
  </r>
  <r>
    <s v="ERR1473279"/>
    <s v="sequencing batch:FC2014_038"/>
    <x v="0"/>
    <n v="11826"/>
    <s v="46, xx"/>
    <x v="4"/>
    <s v="left"/>
    <s v="Yes"/>
    <x v="0"/>
  </r>
  <r>
    <s v="ERR1473280"/>
    <s v="sequencing batch:FC2014_038"/>
    <x v="0"/>
    <n v="11826"/>
    <s v="46, xx"/>
    <x v="4"/>
    <s v="right"/>
    <s v="Yes"/>
    <x v="0"/>
  </r>
  <r>
    <s v="ERR1473281"/>
    <s v="sequencing batch:FC2014_038"/>
    <x v="0"/>
    <n v="11827"/>
    <s v="46, xx"/>
    <x v="4"/>
    <s v="left"/>
    <s v="Yes"/>
    <x v="0"/>
  </r>
  <r>
    <s v="ERR1473282"/>
    <s v="sequencing batch:FC2014_032, FC2014_117"/>
    <x v="0"/>
    <n v="11827"/>
    <s v="46, xx"/>
    <x v="4"/>
    <s v="right"/>
    <s v="Yes"/>
    <x v="0"/>
  </r>
  <r>
    <s v="ERR1473283"/>
    <s v="sequencing batch:FC2014_032, FC2014_117"/>
    <x v="0"/>
    <n v="11827"/>
    <s v="46, xx"/>
    <x v="4"/>
    <s v="right"/>
    <s v="Yes"/>
    <x v="0"/>
  </r>
  <r>
    <s v="ERR1473284"/>
    <s v="sequencing batch:FC2014_030"/>
    <x v="0"/>
    <n v="11846"/>
    <s v="46, xx"/>
    <x v="4"/>
    <s v="left"/>
    <s v="Yes"/>
    <x v="0"/>
  </r>
  <r>
    <s v="ERR1473285"/>
    <s v="sequencing batch:FC2014_030"/>
    <x v="0"/>
    <n v="11846"/>
    <s v="46, xx"/>
    <x v="4"/>
    <s v="right"/>
    <s v="Yes"/>
    <x v="0"/>
  </r>
  <r>
    <s v="ERR1473286"/>
    <s v="sequencing batch:FC2014_030, FC2014_117"/>
    <x v="0"/>
    <n v="11884"/>
    <s v="46, xx"/>
    <x v="4"/>
    <m/>
    <s v="Yes"/>
    <x v="0"/>
  </r>
  <r>
    <s v="ERR1473287"/>
    <s v="sequencing batch:FC2014_030, FC2014_117"/>
    <x v="0"/>
    <n v="11884"/>
    <s v="46, xx"/>
    <x v="4"/>
    <m/>
    <s v="Yes"/>
    <x v="0"/>
  </r>
  <r>
    <s v="ERR1473288"/>
    <s v="sequencing batch:FC2014_030, FC2014_151"/>
    <x v="0"/>
    <n v="11918"/>
    <s v="46, xx"/>
    <x v="4"/>
    <m/>
    <s v="Yes"/>
    <x v="0"/>
  </r>
  <r>
    <s v="ERR1473289"/>
    <s v="sequencing batch:FC2014_030, FC2014_151"/>
    <x v="0"/>
    <n v="11918"/>
    <s v="46, xx"/>
    <x v="4"/>
    <m/>
    <s v="Yes"/>
    <x v="0"/>
  </r>
  <r>
    <s v="ERR1473290"/>
    <s v="sequencing batch:FC2014_035"/>
    <x v="2"/>
    <n v="11820"/>
    <s v="46, xx"/>
    <x v="4"/>
    <m/>
    <s v="Yes"/>
    <x v="1"/>
  </r>
  <r>
    <s v="ERR1473291"/>
    <s v="sequencing batch:FC2014_035, FC2014_117"/>
    <x v="1"/>
    <n v="11831"/>
    <s v="46, xy"/>
    <x v="4"/>
    <s v="left"/>
    <s v="Yes"/>
    <x v="0"/>
  </r>
  <r>
    <s v="ERR1473292"/>
    <s v="sequencing batch:FC2014_035, FC2014_117"/>
    <x v="1"/>
    <n v="11831"/>
    <s v="46, xy"/>
    <x v="4"/>
    <s v="left"/>
    <s v="Yes"/>
    <x v="0"/>
  </r>
  <r>
    <s v="ERR1473293"/>
    <s v="sequencing batch:FC2014_030"/>
    <x v="1"/>
    <n v="11831"/>
    <s v="46, xy"/>
    <x v="4"/>
    <s v="right"/>
    <s v="Yes"/>
    <x v="0"/>
  </r>
  <r>
    <s v="ERR1473294"/>
    <s v="sequencing batch:FC2014_037"/>
    <x v="1"/>
    <n v="11878"/>
    <s v="46, xx"/>
    <x v="4"/>
    <m/>
    <s v="Yes"/>
    <x v="0"/>
  </r>
  <r>
    <s v="ERR1473295"/>
    <s v="sequencing batch:FC2014_043"/>
    <x v="2"/>
    <n v="11845"/>
    <s v="46, xy"/>
    <x v="4"/>
    <s v="left"/>
    <s v="Yes"/>
    <x v="1"/>
  </r>
  <r>
    <s v="ERR1473296"/>
    <s v="sequencing batch:FC2014_043"/>
    <x v="2"/>
    <n v="11845"/>
    <s v="46, xy"/>
    <x v="4"/>
    <s v="left"/>
    <s v="Yes"/>
    <x v="1"/>
  </r>
  <r>
    <s v="ERR1473297"/>
    <s v="sequencing batch:FC2014_043"/>
    <x v="2"/>
    <n v="11845"/>
    <s v="46, xy"/>
    <x v="4"/>
    <s v="right"/>
    <s v="Yes"/>
    <x v="1"/>
  </r>
  <r>
    <s v="ERR1473298"/>
    <s v="sequencing batch:FC2014_075"/>
    <x v="2"/>
    <n v="11873"/>
    <s v="46, xx"/>
    <x v="4"/>
    <s v="left"/>
    <s v="Yes"/>
    <x v="1"/>
  </r>
  <r>
    <s v="ERR1473299"/>
    <s v="sequencing batch:FC2014_066"/>
    <x v="2"/>
    <n v="11873"/>
    <s v="46, xx"/>
    <x v="4"/>
    <s v="right"/>
    <s v="Yes"/>
    <x v="1"/>
  </r>
  <r>
    <s v="ERR1473300"/>
    <s v="sequencing batch:FC2014_065, FC2014_117"/>
    <x v="3"/>
    <n v="11832"/>
    <s v="46, xx"/>
    <x v="4"/>
    <s v="left"/>
    <s v="Yes"/>
    <x v="0"/>
  </r>
  <r>
    <s v="ERR1473301"/>
    <s v="sequencing batch:FC2014_065, FC2014_117"/>
    <x v="3"/>
    <n v="11832"/>
    <s v="46, xx"/>
    <x v="4"/>
    <s v="left"/>
    <s v="Yes"/>
    <x v="0"/>
  </r>
  <r>
    <s v="ERR1473302"/>
    <s v="sequencing batch:FC2014_071"/>
    <x v="3"/>
    <n v="11832"/>
    <s v="46, xx"/>
    <x v="4"/>
    <s v="right"/>
    <s v="Yes"/>
    <x v="0"/>
  </r>
  <r>
    <s v="ERR1473303"/>
    <s v="sequencing batch:FC2014_071"/>
    <x v="3"/>
    <n v="11830"/>
    <s v="46, xx"/>
    <x v="4"/>
    <s v="left"/>
    <s v="Yes"/>
    <x v="0"/>
  </r>
  <r>
    <s v="ERR1473304"/>
    <s v="sequencing batch:FC2014_071"/>
    <x v="3"/>
    <n v="11830"/>
    <s v="46, xx"/>
    <x v="4"/>
    <s v="right"/>
    <s v="Yes"/>
    <x v="0"/>
  </r>
  <r>
    <s v="ERR1473305"/>
    <s v="sequencing batch:FC2014_054, FC2014_117"/>
    <x v="4"/>
    <n v="11907"/>
    <s v="46, xx"/>
    <x v="4"/>
    <s v="right"/>
    <s v="Yes"/>
    <x v="2"/>
  </r>
  <r>
    <s v="ERR1473306"/>
    <s v="sequencing batch:FC2014_054, FC2014_117"/>
    <x v="4"/>
    <n v="11907"/>
    <s v="46, xx"/>
    <x v="4"/>
    <s v="right"/>
    <s v="Yes"/>
    <x v="2"/>
  </r>
  <r>
    <s v="ERR1473307"/>
    <s v="sequencing batch:FC2014_055"/>
    <x v="5"/>
    <n v="1923"/>
    <s v="46, xx"/>
    <x v="4"/>
    <s v="left"/>
    <s v="Yes"/>
    <x v="3"/>
  </r>
  <r>
    <s v="ERR1473308"/>
    <s v="sequencing batch:FC2014_055, FC2014_117"/>
    <x v="5"/>
    <n v="1923"/>
    <s v="46, xx"/>
    <x v="4"/>
    <s v="right"/>
    <s v="Yes"/>
    <x v="3"/>
  </r>
  <r>
    <s v="ERR1473309"/>
    <s v="sequencing batch:FC2014_055, FC2014_117"/>
    <x v="5"/>
    <n v="1923"/>
    <s v="46, xx"/>
    <x v="4"/>
    <s v="right"/>
    <s v="Yes"/>
    <x v="3"/>
  </r>
  <r>
    <s v="ERR1473310"/>
    <s v="sequencing batch:FC2014_047"/>
    <x v="9"/>
    <n v="11885"/>
    <s v="46, xy"/>
    <x v="4"/>
    <m/>
    <s v="Yes"/>
    <x v="7"/>
  </r>
  <r>
    <s v="ERR1473311"/>
    <s v="sequencing batch:FC2014_047"/>
    <x v="6"/>
    <n v="11833"/>
    <s v="46, xx"/>
    <x v="4"/>
    <s v="left"/>
    <s v="Yes"/>
    <x v="4"/>
  </r>
  <r>
    <s v="ERR1473312"/>
    <s v="sequencing batch:FC2014_047"/>
    <x v="6"/>
    <n v="11833"/>
    <s v="46, xx"/>
    <x v="4"/>
    <s v="right"/>
    <s v="Yes"/>
    <x v="4"/>
  </r>
  <r>
    <s v="ERR1473313"/>
    <s v="sequencing batch:FC2014_044"/>
    <x v="6"/>
    <n v="11930"/>
    <s v="46, xx"/>
    <x v="4"/>
    <m/>
    <s v="Yes"/>
    <x v="4"/>
  </r>
  <r>
    <s v="ERR1473314"/>
    <s v="sequencing batch:FC2014_044"/>
    <x v="6"/>
    <n v="11942"/>
    <s v="46, xx"/>
    <x v="4"/>
    <s v="left"/>
    <s v="Yes"/>
    <x v="4"/>
  </r>
  <r>
    <s v="ERR1473315"/>
    <s v="sequencing batch:FC2014_044"/>
    <x v="7"/>
    <n v="1890"/>
    <s v="unknown"/>
    <x v="4"/>
    <m/>
    <s v="Yes"/>
    <x v="5"/>
  </r>
  <r>
    <s v="ERR1473316"/>
    <s v="sequencing batch:FC2014_044"/>
    <x v="7"/>
    <n v="11841"/>
    <s v="46, xy"/>
    <x v="4"/>
    <s v="left"/>
    <s v="Yes"/>
    <x v="5"/>
  </r>
  <r>
    <s v="ERR1473317"/>
    <s v="sequencing batch:FC2014_044"/>
    <x v="7"/>
    <n v="11841"/>
    <s v="46, xy"/>
    <x v="4"/>
    <s v="right"/>
    <s v="Yes"/>
    <x v="5"/>
  </r>
  <r>
    <s v="ERR1473318"/>
    <s v="sequencing batch:FC2014_045"/>
    <x v="5"/>
    <n v="11947"/>
    <s v="46, xx"/>
    <x v="4"/>
    <s v="right"/>
    <s v="Yes"/>
    <x v="3"/>
  </r>
  <r>
    <s v="ERR1473319"/>
    <s v="sequencing batch:FC2014_048"/>
    <x v="0"/>
    <n v="11920"/>
    <s v="46, xy"/>
    <x v="4"/>
    <m/>
    <s v="No"/>
    <x v="0"/>
  </r>
  <r>
    <s v="ERR1473320"/>
    <s v="sequencing batch:FC2014_050"/>
    <x v="13"/>
    <n v="1290"/>
    <s v="46, xy"/>
    <x v="4"/>
    <m/>
    <s v="Yes"/>
    <x v="9"/>
  </r>
  <r>
    <s v="ERR1473321"/>
    <s v="sequencing batch:FC2014_065"/>
    <x v="7"/>
    <n v="1046"/>
    <s v="46, xx"/>
    <x v="4"/>
    <s v="right"/>
    <s v="Yes"/>
    <x v="5"/>
  </r>
  <r>
    <s v="ERR1473322"/>
    <s v="sequencing batch:FC2014_080"/>
    <x v="6"/>
    <n v="11942"/>
    <s v="46, xx"/>
    <x v="4"/>
    <s v="right"/>
    <s v="Yes"/>
    <x v="4"/>
  </r>
  <r>
    <s v="ERR1473323"/>
    <s v="sequencing batch:FC2014_080"/>
    <x v="9"/>
    <n v="12007"/>
    <s v="46, xy"/>
    <x v="4"/>
    <s v="right"/>
    <s v="Yes"/>
    <x v="7"/>
  </r>
  <r>
    <s v="ERR1473324"/>
    <s v="sequencing batch:FC2014_080"/>
    <x v="9"/>
    <n v="12007"/>
    <s v="46, xy"/>
    <x v="4"/>
    <s v="left"/>
    <s v="Yes"/>
    <x v="7"/>
  </r>
  <r>
    <s v="ERR1473325"/>
    <s v="sequencing batch:FC2014_055"/>
    <x v="13"/>
    <n v="11900"/>
    <s v="46, xy"/>
    <x v="5"/>
    <m/>
    <s v="Yes"/>
    <x v="9"/>
  </r>
  <r>
    <s v="ERR1473326"/>
    <s v="sequencing batch:FC2014_035"/>
    <x v="0"/>
    <n v="11848"/>
    <s v="46, xy"/>
    <x v="6"/>
    <s v="right"/>
    <s v="Yes"/>
    <x v="0"/>
  </r>
  <r>
    <s v="ERR1473327"/>
    <s v="sequencing batch:FC2014_035, FC2014_117"/>
    <x v="0"/>
    <n v="11848"/>
    <s v="46, xy"/>
    <x v="6"/>
    <s v="left"/>
    <s v="Yes"/>
    <x v="0"/>
  </r>
  <r>
    <s v="ERR1473328"/>
    <s v="sequencing batch:FC2014_035, FC2014_117"/>
    <x v="0"/>
    <n v="11848"/>
    <s v="46, xy"/>
    <x v="6"/>
    <s v="left"/>
    <s v="Yes"/>
    <x v="0"/>
  </r>
  <r>
    <s v="ERR1473329"/>
    <s v="sequencing batch:FC2014_032"/>
    <x v="1"/>
    <n v="11815"/>
    <s v="46, xx"/>
    <x v="6"/>
    <m/>
    <s v="Yes"/>
    <x v="0"/>
  </r>
  <r>
    <s v="ERR1473330"/>
    <s v="sequencing batch:FC2014_037"/>
    <x v="12"/>
    <n v="11904"/>
    <s v="46, xy"/>
    <x v="6"/>
    <m/>
    <s v="Yes"/>
    <x v="8"/>
  </r>
  <r>
    <s v="ERR1473331"/>
    <s v="sequencing batch:FC2014_037"/>
    <x v="16"/>
    <n v="11931"/>
    <s v="unknown"/>
    <x v="6"/>
    <m/>
    <s v="Yes"/>
    <x v="11"/>
  </r>
  <r>
    <s v="ERR1473332"/>
    <s v="sequencing batch:FC2014_037"/>
    <x v="21"/>
    <n v="11840"/>
    <s v="46, xx"/>
    <x v="6"/>
    <m/>
    <s v="Yes"/>
    <x v="12"/>
  </r>
  <r>
    <s v="ERR1473333"/>
    <s v="sequencing batch:FC2014_037"/>
    <x v="21"/>
    <n v="11837"/>
    <s v="46, xy"/>
    <x v="6"/>
    <m/>
    <s v="Yes"/>
    <x v="12"/>
  </r>
  <r>
    <s v="ERR1473334"/>
    <s v="sequencing batch:FC2014_037"/>
    <x v="22"/>
    <n v="11903"/>
    <s v="46, xx"/>
    <x v="6"/>
    <m/>
    <s v="Yes"/>
    <x v="15"/>
  </r>
  <r>
    <s v="ERR1473335"/>
    <s v="sequencing batch:FC2014_037"/>
    <x v="2"/>
    <n v="11810"/>
    <s v="46, xx"/>
    <x v="6"/>
    <m/>
    <s v="Yes"/>
    <x v="1"/>
  </r>
  <r>
    <s v="ERR1473336"/>
    <s v="sequencing batch:FC2014_066"/>
    <x v="2"/>
    <n v="11606"/>
    <s v="46, xy"/>
    <x v="6"/>
    <s v="left"/>
    <s v="Yes"/>
    <x v="1"/>
  </r>
  <r>
    <s v="ERR1473337"/>
    <s v="sequencing batch:FC2014_066"/>
    <x v="2"/>
    <n v="11606"/>
    <s v="46, xy"/>
    <x v="6"/>
    <s v="right"/>
    <s v="Yes"/>
    <x v="1"/>
  </r>
  <r>
    <s v="ERR1473338"/>
    <s v="sequencing batch:FC2014_069"/>
    <x v="9"/>
    <n v="1102"/>
    <s v="46, xx"/>
    <x v="6"/>
    <s v="left"/>
    <s v="Yes"/>
    <x v="7"/>
  </r>
  <r>
    <s v="ERR1473339"/>
    <s v="sequencing batch:FC2014_069"/>
    <x v="9"/>
    <n v="1558"/>
    <s v="46, xx"/>
    <x v="6"/>
    <s v="left"/>
    <s v="Yes"/>
    <x v="7"/>
  </r>
  <r>
    <s v="ERR1473340"/>
    <s v="sequencing batch:FC2014_069"/>
    <x v="9"/>
    <n v="1558"/>
    <s v="46, xx"/>
    <x v="6"/>
    <s v="right"/>
    <s v="Yes"/>
    <x v="7"/>
  </r>
  <r>
    <s v="ERR1473341"/>
    <s v="sequencing batch:FC2014_047"/>
    <x v="6"/>
    <n v="11602"/>
    <s v="46, xy"/>
    <x v="6"/>
    <s v="left"/>
    <s v="Yes"/>
    <x v="4"/>
  </r>
  <r>
    <s v="ERR1473342"/>
    <s v="sequencing batch:FC2014_047"/>
    <x v="6"/>
    <n v="11602"/>
    <s v="46, xy"/>
    <x v="6"/>
    <s v="right"/>
    <s v="Yes"/>
    <x v="4"/>
  </r>
  <r>
    <s v="ERR1473343"/>
    <s v="sequencing batch:FC2014_044"/>
    <x v="7"/>
    <n v="1281"/>
    <s v="46, xy"/>
    <x v="6"/>
    <s v="left"/>
    <s v="Yes"/>
    <x v="5"/>
  </r>
  <r>
    <s v="ERR1473344"/>
    <s v="sequencing batch:FC2014_044"/>
    <x v="7"/>
    <n v="1281"/>
    <s v="46, xy"/>
    <x v="6"/>
    <s v="right"/>
    <s v="Yes"/>
    <x v="5"/>
  </r>
  <r>
    <s v="ERR1473345"/>
    <s v="sequencing batch:FC2014_049"/>
    <x v="14"/>
    <n v="11118"/>
    <s v="46, xx"/>
    <x v="6"/>
    <m/>
    <s v="Yes"/>
    <x v="0"/>
  </r>
  <r>
    <s v="ERR1473346"/>
    <s v="sequencing batch:FC2014_044"/>
    <x v="7"/>
    <n v="1308"/>
    <s v="46, xx"/>
    <x v="7"/>
    <m/>
    <s v="Yes"/>
    <x v="5"/>
  </r>
  <r>
    <s v="ERR1473347"/>
    <s v="sequencing batch:FC2014_035"/>
    <x v="1"/>
    <n v="11871"/>
    <s v="46, xx"/>
    <x v="8"/>
    <s v="left"/>
    <s v="Yes"/>
    <x v="0"/>
  </r>
  <r>
    <s v="ERR1473348"/>
    <s v="sequencing batch:FC2014_066"/>
    <x v="2"/>
    <n v="11874"/>
    <s v="46, xy"/>
    <x v="8"/>
    <m/>
    <s v="Yes"/>
    <x v="1"/>
  </r>
  <r>
    <s v="ERR1473349"/>
    <s v="sequencing batch:FC2014_150"/>
    <x v="2"/>
    <n v="11626"/>
    <s v="46, xx"/>
    <x v="8"/>
    <m/>
    <s v="Yes"/>
    <x v="1"/>
  </r>
  <r>
    <s v="ERR1473350"/>
    <s v="sequencing batch:FC2014_055"/>
    <x v="5"/>
    <n v="11844"/>
    <s v="46, xy"/>
    <x v="8"/>
    <s v="left"/>
    <s v="Yes"/>
    <x v="3"/>
  </r>
  <r>
    <s v="ERR1473351"/>
    <s v="sequencing batch:FC2014_047"/>
    <x v="6"/>
    <n v="11893"/>
    <s v="46, xx"/>
    <x v="8"/>
    <s v="left"/>
    <s v="Yes"/>
    <x v="4"/>
  </r>
  <r>
    <s v="ERR1473352"/>
    <s v="sequencing batch:FC2014_037"/>
    <x v="10"/>
    <n v="11882"/>
    <s v="46, xx"/>
    <x v="6"/>
    <s v="frontal"/>
    <s v="Yes"/>
    <x v="0"/>
  </r>
  <r>
    <s v="ERR1473353"/>
    <s v="sequencing batch:FC2014_035"/>
    <x v="0"/>
    <n v="11848"/>
    <s v="46, xy"/>
    <x v="9"/>
    <s v="left"/>
    <s v="Yes"/>
    <x v="0"/>
  </r>
  <r>
    <s v="ERR1473354"/>
    <s v="sequencing batch:FC2014_030"/>
    <x v="0"/>
    <n v="11824"/>
    <s v="46, xy"/>
    <x v="9"/>
    <m/>
    <s v="Yes"/>
    <x v="0"/>
  </r>
  <r>
    <s v="ERR1473355"/>
    <s v="sequencing batch:FC2014_032"/>
    <x v="2"/>
    <n v="11820"/>
    <s v="46, xx"/>
    <x v="9"/>
    <s v="right"/>
    <s v="Yes"/>
    <x v="1"/>
  </r>
  <r>
    <s v="ERR1473356"/>
    <s v="sequencing batch:FC2014_037"/>
    <x v="10"/>
    <n v="11882"/>
    <s v="46, xx"/>
    <x v="9"/>
    <m/>
    <s v="Yes"/>
    <x v="0"/>
  </r>
  <r>
    <s v="ERR1473357"/>
    <s v="sequencing batch:FC2014_037"/>
    <x v="11"/>
    <n v="11856"/>
    <s v="46, xy"/>
    <x v="9"/>
    <m/>
    <s v="Yes"/>
    <x v="8"/>
  </r>
  <r>
    <s v="ERR1473358"/>
    <s v="sequencing batch:FC2014_037"/>
    <x v="16"/>
    <n v="11931"/>
    <s v="unknown"/>
    <x v="9"/>
    <m/>
    <s v="Yes"/>
    <x v="11"/>
  </r>
  <r>
    <s v="ERR1473359"/>
    <s v="sequencing batch:FC2014_150"/>
    <x v="2"/>
    <n v="11881"/>
    <s v="46, xy"/>
    <x v="9"/>
    <m/>
    <s v="Yes"/>
    <x v="1"/>
  </r>
  <r>
    <s v="ERR1473360"/>
    <s v="sequencing batch:FC2014_073"/>
    <x v="3"/>
    <n v="11869"/>
    <s v="46, xx"/>
    <x v="9"/>
    <m/>
    <s v="Yes"/>
    <x v="0"/>
  </r>
  <r>
    <s v="ERR1473361"/>
    <s v="sequencing batch:FC2014_054"/>
    <x v="0"/>
    <n v="11920"/>
    <s v="46, xy"/>
    <x v="9"/>
    <m/>
    <s v="Yes"/>
    <x v="0"/>
  </r>
  <r>
    <s v="ERR1473362"/>
    <s v="sequencing batch:FC2014_055"/>
    <x v="13"/>
    <n v="11900"/>
    <s v="46, xy"/>
    <x v="9"/>
    <s v="left"/>
    <s v="Yes"/>
    <x v="9"/>
  </r>
  <r>
    <s v="ERR1473363"/>
    <s v="sequencing batch:FC2014_055"/>
    <x v="13"/>
    <n v="11900"/>
    <s v="46, xy"/>
    <x v="9"/>
    <s v="right"/>
    <s v="Yes"/>
    <x v="9"/>
  </r>
  <r>
    <s v="ERR1473364"/>
    <s v="sequencing batch:FC2014_043"/>
    <x v="9"/>
    <n v="11885"/>
    <s v="46, xy"/>
    <x v="9"/>
    <m/>
    <s v="Yes"/>
    <x v="7"/>
  </r>
  <r>
    <s v="ERR1473365"/>
    <s v="sequencing batch:FC2014_045"/>
    <x v="14"/>
    <n v="11287"/>
    <s v="46, xy"/>
    <x v="9"/>
    <m/>
    <s v="Yes"/>
    <x v="0"/>
  </r>
  <r>
    <s v="ERR1473366"/>
    <s v="sequencing batch:FC2014_048"/>
    <x v="0"/>
    <n v="1406"/>
    <s v="46, xx"/>
    <x v="9"/>
    <m/>
    <s v="No"/>
    <x v="0"/>
  </r>
  <r>
    <s v="ERR1473367"/>
    <s v="sequencing batch:FC2014_048"/>
    <x v="0"/>
    <n v="11848"/>
    <s v="46, xy"/>
    <x v="9"/>
    <s v="right"/>
    <s v="No"/>
    <x v="0"/>
  </r>
  <r>
    <s v="ERR1473368"/>
    <s v="sequencing batch:FC2014_048"/>
    <x v="14"/>
    <n v="11149"/>
    <s v="46, xx"/>
    <x v="9"/>
    <m/>
    <s v="No"/>
    <x v="0"/>
  </r>
  <r>
    <s v="ERR1473369"/>
    <s v="sequencing batch:FC2014_049"/>
    <x v="11"/>
    <n v="1319"/>
    <s v="46, xx"/>
    <x v="9"/>
    <m/>
    <s v="Yes"/>
    <x v="8"/>
  </r>
  <r>
    <s v="ERR1473370"/>
    <s v="sequencing batch:FC2014_049"/>
    <x v="12"/>
    <n v="11904"/>
    <s v="46, xy"/>
    <x v="9"/>
    <m/>
    <s v="Yes"/>
    <x v="8"/>
  </r>
  <r>
    <s v="ERR1473371"/>
    <s v="sequencing batch:FC2014_049"/>
    <x v="12"/>
    <n v="11288"/>
    <s v="unknown"/>
    <x v="9"/>
    <m/>
    <s v="Yes"/>
    <x v="8"/>
  </r>
  <r>
    <s v="ERR1473372"/>
    <s v="sequencing batch:FC2014_049"/>
    <x v="16"/>
    <n v="11748"/>
    <s v="unknown"/>
    <x v="9"/>
    <m/>
    <s v="Yes"/>
    <x v="11"/>
  </r>
  <r>
    <s v="ERR1473373"/>
    <s v="sequencing batch:FC2014_045"/>
    <x v="21"/>
    <n v="11840"/>
    <s v="46, xx"/>
    <x v="9"/>
    <m/>
    <s v="Yes"/>
    <x v="12"/>
  </r>
  <r>
    <s v="ERR1473374"/>
    <s v="sequencing batch:FC2014_045"/>
    <x v="21"/>
    <n v="11837"/>
    <s v="46, xy"/>
    <x v="9"/>
    <m/>
    <s v="Yes"/>
    <x v="12"/>
  </r>
  <r>
    <s v="ERR1473375"/>
    <s v="sequencing batch:FC2014_045"/>
    <x v="2"/>
    <n v="11810"/>
    <s v="46, xx"/>
    <x v="9"/>
    <m/>
    <s v="Yes"/>
    <x v="1"/>
  </r>
  <r>
    <s v="ERR1473376"/>
    <s v="sequencing batch:FC2014_050"/>
    <x v="2"/>
    <n v="11606"/>
    <s v="46, xy"/>
    <x v="9"/>
    <m/>
    <s v="Yes"/>
    <x v="1"/>
  </r>
  <r>
    <s v="ERR1473377"/>
    <s v="sequencing batch:FC2014_050"/>
    <x v="2"/>
    <n v="11626"/>
    <s v="46, xx"/>
    <x v="9"/>
    <m/>
    <s v="Yes"/>
    <x v="1"/>
  </r>
  <r>
    <s v="ERR1473378"/>
    <s v="sequencing batch:FC2014_065"/>
    <x v="9"/>
    <n v="1558"/>
    <s v="46, xx"/>
    <x v="9"/>
    <m/>
    <s v="Yes"/>
    <x v="7"/>
  </r>
  <r>
    <s v="ERR1473379"/>
    <s v="sequencing batch:FC2014_065"/>
    <x v="6"/>
    <n v="11656"/>
    <s v="46, xx"/>
    <x v="9"/>
    <m/>
    <s v="Yes"/>
    <x v="4"/>
  </r>
  <r>
    <s v="ERR1473380"/>
    <s v="sequencing batch:FC2014_075"/>
    <x v="6"/>
    <n v="11609"/>
    <s v="46, xx"/>
    <x v="9"/>
    <m/>
    <s v="Yes"/>
    <x v="4"/>
  </r>
  <r>
    <s v="ERR1473381"/>
    <s v="sequencing batch:FC2014_065"/>
    <x v="7"/>
    <n v="1281"/>
    <s v="46, xy"/>
    <x v="9"/>
    <m/>
    <s v="Yes"/>
    <x v="5"/>
  </r>
  <r>
    <s v="ERR1473382"/>
    <s v="sequencing batch:FC2014_080"/>
    <x v="9"/>
    <n v="11683"/>
    <s v="46, xx"/>
    <x v="9"/>
    <s v="right"/>
    <s v="Yes"/>
    <x v="7"/>
  </r>
  <r>
    <s v="ERR1473383"/>
    <s v="sequencing batch:FC2014_080"/>
    <x v="9"/>
    <n v="11666"/>
    <s v="46, xy"/>
    <x v="9"/>
    <s v="left"/>
    <s v="Yes"/>
    <x v="7"/>
  </r>
  <r>
    <s v="ERR1473384"/>
    <s v="sequencing batch:FC2014_080"/>
    <x v="9"/>
    <n v="11666"/>
    <s v="46, xy"/>
    <x v="9"/>
    <s v="right"/>
    <s v="Yes"/>
    <x v="7"/>
  </r>
  <r>
    <s v="ERR1473385"/>
    <s v="sequencing batch:FC2014_069"/>
    <x v="9"/>
    <n v="1102"/>
    <s v="46, xx"/>
    <x v="10"/>
    <m/>
    <s v="Yes"/>
    <x v="7"/>
  </r>
  <r>
    <s v="ERR1473386"/>
    <s v="sequencing batch:FC2014_032"/>
    <x v="1"/>
    <n v="11814"/>
    <s v="46, xy"/>
    <x v="11"/>
    <s v="right"/>
    <s v="Yes"/>
    <x v="0"/>
  </r>
  <r>
    <s v="ERR1473387"/>
    <s v="sequencing batch:FC2014_032"/>
    <x v="1"/>
    <n v="11815"/>
    <s v="46, xx"/>
    <x v="11"/>
    <m/>
    <s v="Yes"/>
    <x v="0"/>
  </r>
  <r>
    <s v="ERR1473388"/>
    <s v="sequencing batch:FC2014_055"/>
    <x v="9"/>
    <n v="11834"/>
    <s v="46, xy"/>
    <x v="11"/>
    <m/>
    <s v="Yes"/>
    <x v="7"/>
  </r>
  <r>
    <s v="ERR1473389"/>
    <s v="sequencing batch:FC2014_050"/>
    <x v="8"/>
    <n v="1115"/>
    <s v="unknown"/>
    <x v="12"/>
    <s v="right"/>
    <s v="Yes"/>
    <x v="6"/>
  </r>
  <r>
    <s v="ERR1473390"/>
    <s v="sequencing batch:FC2014_050"/>
    <x v="4"/>
    <n v="1107"/>
    <s v="unknown"/>
    <x v="12"/>
    <s v="right"/>
    <s v="Yes"/>
    <x v="2"/>
  </r>
  <r>
    <s v="ERR1473391"/>
    <s v="sequencing batch:FC2014_038"/>
    <x v="0"/>
    <n v="11823"/>
    <s v="46, xy"/>
    <x v="13"/>
    <m/>
    <s v="Yes"/>
    <x v="0"/>
  </r>
  <r>
    <s v="ERR1473392"/>
    <s v="sequencing batch:FC2014_038"/>
    <x v="0"/>
    <n v="11826"/>
    <s v="46, xx"/>
    <x v="13"/>
    <m/>
    <s v="Yes"/>
    <x v="0"/>
  </r>
  <r>
    <s v="ERR1473393"/>
    <s v="sequencing batch:FC2014_038"/>
    <x v="0"/>
    <n v="11827"/>
    <s v="46, xx"/>
    <x v="13"/>
    <m/>
    <s v="Yes"/>
    <x v="0"/>
  </r>
  <r>
    <s v="ERR1473394"/>
    <s v="sequencing batch:FC2014_030"/>
    <x v="0"/>
    <n v="11846"/>
    <s v="46, xx"/>
    <x v="13"/>
    <m/>
    <s v="Yes"/>
    <x v="0"/>
  </r>
  <r>
    <s v="ERR1473395"/>
    <s v="sequencing batch:FC2014_030"/>
    <x v="0"/>
    <n v="11884"/>
    <s v="46, xx"/>
    <x v="13"/>
    <m/>
    <s v="Yes"/>
    <x v="0"/>
  </r>
  <r>
    <s v="ERR1473396"/>
    <s v="sequencing batch:FC2014_030"/>
    <x v="0"/>
    <n v="11918"/>
    <s v="46, xx"/>
    <x v="13"/>
    <m/>
    <s v="Yes"/>
    <x v="0"/>
  </r>
  <r>
    <s v="ERR1473397"/>
    <s v="sequencing batch:FC2014_035"/>
    <x v="1"/>
    <n v="11828"/>
    <s v="46, xx"/>
    <x v="13"/>
    <m/>
    <s v="Yes"/>
    <x v="0"/>
  </r>
  <r>
    <s v="ERR1473398"/>
    <s v="sequencing batch:FC2014_035"/>
    <x v="1"/>
    <n v="11829"/>
    <s v="46, xy"/>
    <x v="13"/>
    <m/>
    <s v="Yes"/>
    <x v="0"/>
  </r>
  <r>
    <s v="ERR1473399"/>
    <s v="sequencing batch:FC2014_035"/>
    <x v="1"/>
    <n v="11831"/>
    <s v="46, xy"/>
    <x v="13"/>
    <m/>
    <s v="Yes"/>
    <x v="0"/>
  </r>
  <r>
    <s v="ERR1473400"/>
    <s v="sequencing batch:FC2014_043"/>
    <x v="1"/>
    <n v="11858"/>
    <s v="46, xy"/>
    <x v="13"/>
    <m/>
    <s v="Yes"/>
    <x v="0"/>
  </r>
  <r>
    <s v="ERR1473401"/>
    <s v="sequencing batch:FC2014_035"/>
    <x v="1"/>
    <n v="11871"/>
    <s v="46, xx"/>
    <x v="13"/>
    <m/>
    <s v="Yes"/>
    <x v="0"/>
  </r>
  <r>
    <s v="ERR1473402"/>
    <s v="sequencing batch:FC2014_037"/>
    <x v="1"/>
    <n v="11878"/>
    <s v="46, xx"/>
    <x v="13"/>
    <s v="right"/>
    <s v="Yes"/>
    <x v="0"/>
  </r>
  <r>
    <s v="ERR1473403"/>
    <s v="sequencing batch:FC2014_043"/>
    <x v="2"/>
    <n v="11845"/>
    <s v="46, xy"/>
    <x v="13"/>
    <m/>
    <s v="Yes"/>
    <x v="1"/>
  </r>
  <r>
    <s v="ERR1473404"/>
    <s v="sequencing batch:FC2014_043"/>
    <x v="2"/>
    <n v="11851"/>
    <s v="46, xx"/>
    <x v="13"/>
    <m/>
    <s v="Yes"/>
    <x v="1"/>
  </r>
  <r>
    <s v="ERR1473405"/>
    <s v="sequencing batch:FC2014_066"/>
    <x v="2"/>
    <n v="11873"/>
    <s v="46, xx"/>
    <x v="13"/>
    <m/>
    <s v="Yes"/>
    <x v="1"/>
  </r>
  <r>
    <s v="ERR1473406"/>
    <s v="sequencing batch:FC2014_066"/>
    <x v="2"/>
    <n v="11912"/>
    <s v="46, xy"/>
    <x v="13"/>
    <m/>
    <s v="Yes"/>
    <x v="1"/>
  </r>
  <r>
    <s v="ERR1473407"/>
    <s v="sequencing batch:FC2014_065"/>
    <x v="3"/>
    <n v="11832"/>
    <s v="46, xx"/>
    <x v="13"/>
    <m/>
    <s v="Yes"/>
    <x v="0"/>
  </r>
  <r>
    <s v="ERR1473408"/>
    <s v="sequencing batch:FC2014_071"/>
    <x v="3"/>
    <n v="11830"/>
    <s v="46, xx"/>
    <x v="13"/>
    <m/>
    <s v="Yes"/>
    <x v="0"/>
  </r>
  <r>
    <s v="ERR1473409"/>
    <s v="sequencing batch:FC2014_054"/>
    <x v="4"/>
    <n v="11907"/>
    <s v="46, xx"/>
    <x v="13"/>
    <s v="right"/>
    <s v="Yes"/>
    <x v="2"/>
  </r>
  <r>
    <s v="ERR1473410"/>
    <s v="sequencing batch:FC2014_058. FC2014_117"/>
    <x v="5"/>
    <n v="1923"/>
    <s v="46, xx"/>
    <x v="13"/>
    <m/>
    <s v="Yes"/>
    <x v="3"/>
  </r>
  <r>
    <s v="ERR1473411"/>
    <s v="sequencing batch:FC2014_058. FC2014_117"/>
    <x v="5"/>
    <n v="1923"/>
    <s v="46, xx"/>
    <x v="13"/>
    <m/>
    <s v="Yes"/>
    <x v="3"/>
  </r>
  <r>
    <s v="ERR1473412"/>
    <s v="sequencing batch:FC2014_047"/>
    <x v="6"/>
    <n v="11833"/>
    <s v="46, xx"/>
    <x v="13"/>
    <m/>
    <s v="Yes"/>
    <x v="4"/>
  </r>
  <r>
    <s v="ERR1473413"/>
    <s v="sequencing batch:FC2014_044"/>
    <x v="6"/>
    <n v="11930"/>
    <s v="46, xx"/>
    <x v="13"/>
    <m/>
    <s v="Yes"/>
    <x v="4"/>
  </r>
  <r>
    <s v="ERR1473414"/>
    <s v="sequencing batch:FC2014_044"/>
    <x v="7"/>
    <n v="11841"/>
    <s v="46, xy"/>
    <x v="13"/>
    <m/>
    <s v="Yes"/>
    <x v="5"/>
  </r>
  <r>
    <s v="ERR1473415"/>
    <s v="sequencing batch:FC2014_044"/>
    <x v="5"/>
    <n v="11947"/>
    <s v="46, xx"/>
    <x v="13"/>
    <m/>
    <s v="Yes"/>
    <x v="3"/>
  </r>
  <r>
    <s v="ERR1473416"/>
    <s v="sequencing batch:FC2014_065"/>
    <x v="7"/>
    <n v="1890"/>
    <s v="unknown"/>
    <x v="13"/>
    <m/>
    <s v="Yes"/>
    <x v="5"/>
  </r>
  <r>
    <s v="ERR1473417"/>
    <s v="sequencing batch:FC2014_038"/>
    <x v="0"/>
    <n v="1406"/>
    <s v="46, xx"/>
    <x v="14"/>
    <m/>
    <s v="Yes"/>
    <x v="0"/>
  </r>
  <r>
    <s v="ERR1473418"/>
    <s v="sequencing batch:FC2014_038"/>
    <x v="0"/>
    <n v="11823"/>
    <s v="46, xy"/>
    <x v="14"/>
    <m/>
    <s v="Yes"/>
    <x v="0"/>
  </r>
  <r>
    <s v="ERR1473419"/>
    <s v="sequencing batch:FC2014_038"/>
    <x v="0"/>
    <n v="11826"/>
    <s v="46, xx"/>
    <x v="14"/>
    <m/>
    <s v="Yes"/>
    <x v="0"/>
  </r>
  <r>
    <s v="ERR1473420"/>
    <s v="sequencing batch:FC2014_038"/>
    <x v="0"/>
    <n v="11827"/>
    <s v="46, xx"/>
    <x v="14"/>
    <m/>
    <s v="Yes"/>
    <x v="0"/>
  </r>
  <r>
    <s v="ERR1473421"/>
    <s v="sequencing batch:FC2014_030"/>
    <x v="0"/>
    <n v="11846"/>
    <s v="46, xx"/>
    <x v="14"/>
    <m/>
    <s v="Yes"/>
    <x v="0"/>
  </r>
  <r>
    <s v="ERR1473422"/>
    <s v="sequencing batch:FC2014_035"/>
    <x v="0"/>
    <n v="11848"/>
    <s v="46, xy"/>
    <x v="14"/>
    <s v="right"/>
    <s v="Yes"/>
    <x v="0"/>
  </r>
  <r>
    <s v="ERR1473423"/>
    <s v="sequencing batch:FC2014_030"/>
    <x v="0"/>
    <n v="11848"/>
    <s v="46, xy"/>
    <x v="14"/>
    <s v="left"/>
    <s v="Yes"/>
    <x v="0"/>
  </r>
  <r>
    <s v="ERR1473424"/>
    <s v="sequencing batch:FC2014_030"/>
    <x v="0"/>
    <n v="11884"/>
    <s v="46, xx"/>
    <x v="14"/>
    <m/>
    <s v="Yes"/>
    <x v="0"/>
  </r>
  <r>
    <s v="ERR1473425"/>
    <s v="sequencing batch:FC2014_030"/>
    <x v="0"/>
    <n v="11918"/>
    <s v="46, xx"/>
    <x v="14"/>
    <m/>
    <s v="Yes"/>
    <x v="0"/>
  </r>
  <r>
    <s v="ERR1473426"/>
    <s v="sequencing batch:FC2014_032"/>
    <x v="1"/>
    <n v="11814"/>
    <s v="46, xy"/>
    <x v="14"/>
    <s v="right"/>
    <s v="Yes"/>
    <x v="0"/>
  </r>
  <r>
    <s v="ERR1473427"/>
    <s v="sequencing batch:FC2014_038"/>
    <x v="1"/>
    <n v="11815"/>
    <s v="46, xx"/>
    <x v="14"/>
    <m/>
    <s v="Yes"/>
    <x v="0"/>
  </r>
  <r>
    <s v="ERR1473428"/>
    <s v="sequencing batch:FC2014_035"/>
    <x v="2"/>
    <n v="11820"/>
    <s v="46, xx"/>
    <x v="14"/>
    <s v="right"/>
    <s v="Yes"/>
    <x v="1"/>
  </r>
  <r>
    <s v="ERR1473429"/>
    <s v="sequencing batch:FC2014_035"/>
    <x v="1"/>
    <n v="11828"/>
    <s v="46, xx"/>
    <x v="14"/>
    <m/>
    <s v="Yes"/>
    <x v="0"/>
  </r>
  <r>
    <s v="ERR1473430"/>
    <s v="sequencing batch:FC2014_035"/>
    <x v="1"/>
    <n v="11829"/>
    <s v="46, xy"/>
    <x v="14"/>
    <m/>
    <s v="Yes"/>
    <x v="0"/>
  </r>
  <r>
    <s v="ERR1473431"/>
    <s v="sequencing batch:FC2014_035"/>
    <x v="1"/>
    <n v="11831"/>
    <s v="46, xy"/>
    <x v="14"/>
    <m/>
    <s v="Yes"/>
    <x v="0"/>
  </r>
  <r>
    <s v="ERR1473432"/>
    <s v="sequencing batch:FC2014_037"/>
    <x v="1"/>
    <n v="11858"/>
    <s v="46, xy"/>
    <x v="14"/>
    <m/>
    <s v="Yes"/>
    <x v="0"/>
  </r>
  <r>
    <s v="ERR1473433"/>
    <s v="sequencing batch:FC2014_043"/>
    <x v="1"/>
    <n v="11865"/>
    <s v="46, xy"/>
    <x v="14"/>
    <m/>
    <s v="Yes"/>
    <x v="0"/>
  </r>
  <r>
    <s v="ERR1473434"/>
    <s v="sequencing batch:FC2014_035"/>
    <x v="1"/>
    <n v="11878"/>
    <s v="46, xx"/>
    <x v="14"/>
    <m/>
    <s v="Yes"/>
    <x v="0"/>
  </r>
  <r>
    <s v="ERR1473435"/>
    <s v="sequencing batch:FC2014_037"/>
    <x v="12"/>
    <n v="11904"/>
    <s v="46, xy"/>
    <x v="14"/>
    <m/>
    <s v="Yes"/>
    <x v="8"/>
  </r>
  <r>
    <s v="ERR1473436"/>
    <s v="sequencing batch:FC2014_037"/>
    <x v="16"/>
    <n v="11931"/>
    <s v="unknown"/>
    <x v="14"/>
    <m/>
    <s v="Yes"/>
    <x v="11"/>
  </r>
  <r>
    <s v="ERR1473437"/>
    <s v="sequencing batch:FC2014_037"/>
    <x v="21"/>
    <n v="11840"/>
    <s v="46, xx"/>
    <x v="14"/>
    <m/>
    <s v="Yes"/>
    <x v="12"/>
  </r>
  <r>
    <s v="ERR1473438"/>
    <s v="sequencing batch:FC2014_037"/>
    <x v="21"/>
    <n v="11837"/>
    <s v="46, xy"/>
    <x v="14"/>
    <m/>
    <s v="Yes"/>
    <x v="12"/>
  </r>
  <r>
    <s v="ERR1473439"/>
    <s v="sequencing batch:FC2014_040"/>
    <x v="2"/>
    <n v="11810"/>
    <s v="46, xx"/>
    <x v="14"/>
    <m/>
    <s v="Yes"/>
    <x v="1"/>
  </r>
  <r>
    <s v="ERR1473440"/>
    <s v="sequencing batch:FC2014_043"/>
    <x v="2"/>
    <n v="11845"/>
    <s v="46, xy"/>
    <x v="14"/>
    <m/>
    <s v="Yes"/>
    <x v="1"/>
  </r>
  <r>
    <s v="ERR1473441"/>
    <s v="sequencing batch:FC2014_065"/>
    <x v="2"/>
    <n v="11851"/>
    <s v="46, xx"/>
    <x v="14"/>
    <m/>
    <s v="Yes"/>
    <x v="1"/>
  </r>
  <r>
    <s v="ERR1473442"/>
    <s v="sequencing batch:FC2014_066"/>
    <x v="2"/>
    <n v="11873"/>
    <s v="46, xx"/>
    <x v="14"/>
    <m/>
    <s v="Yes"/>
    <x v="1"/>
  </r>
  <r>
    <s v="ERR1473443"/>
    <s v="sequencing batch:FC2014_066"/>
    <x v="2"/>
    <n v="11606"/>
    <s v="46, xy"/>
    <x v="14"/>
    <m/>
    <s v="Yes"/>
    <x v="1"/>
  </r>
  <r>
    <s v="ERR1473444"/>
    <s v="sequencing batch:FC2014_066"/>
    <x v="2"/>
    <n v="11912"/>
    <s v="46, xy"/>
    <x v="14"/>
    <m/>
    <s v="Yes"/>
    <x v="1"/>
  </r>
  <r>
    <s v="ERR1473445"/>
    <s v="sequencing batch:FC2014_066"/>
    <x v="2"/>
    <n v="11874"/>
    <s v="46, xy"/>
    <x v="14"/>
    <m/>
    <s v="Yes"/>
    <x v="1"/>
  </r>
  <r>
    <s v="ERR1473446"/>
    <s v="sequencing batch:FC2014_065"/>
    <x v="3"/>
    <n v="11832"/>
    <s v="46, xx"/>
    <x v="14"/>
    <m/>
    <s v="Yes"/>
    <x v="0"/>
  </r>
  <r>
    <s v="ERR1473447"/>
    <s v="sequencing batch:FC2014_071"/>
    <x v="3"/>
    <n v="11830"/>
    <s v="46, xx"/>
    <x v="14"/>
    <m/>
    <s v="Yes"/>
    <x v="0"/>
  </r>
  <r>
    <s v="ERR1473448"/>
    <s v="sequencing batch:FC2014_073"/>
    <x v="3"/>
    <n v="11869"/>
    <s v="46, xx"/>
    <x v="14"/>
    <m/>
    <s v="Yes"/>
    <x v="0"/>
  </r>
  <r>
    <s v="ERR1473449"/>
    <s v="sequencing batch:FC2014_054"/>
    <x v="0"/>
    <n v="11920"/>
    <s v="46, xy"/>
    <x v="14"/>
    <m/>
    <s v="Yes"/>
    <x v="0"/>
  </r>
  <r>
    <s v="ERR1473450"/>
    <s v="sequencing batch:FC2014_054"/>
    <x v="4"/>
    <n v="11907"/>
    <s v="46, xx"/>
    <x v="14"/>
    <s v="right"/>
    <s v="Yes"/>
    <x v="2"/>
  </r>
  <r>
    <s v="ERR1473451"/>
    <s v="sequencing batch:FC2014_058"/>
    <x v="5"/>
    <n v="1923"/>
    <s v="46, xx"/>
    <x v="14"/>
    <m/>
    <s v="Yes"/>
    <x v="3"/>
  </r>
  <r>
    <s v="ERR1473452"/>
    <s v="sequencing batch:FC2014_055"/>
    <x v="9"/>
    <n v="11854"/>
    <s v="46, xy"/>
    <x v="14"/>
    <m/>
    <s v="Yes"/>
    <x v="7"/>
  </r>
  <r>
    <s v="ERR1473453"/>
    <s v="sequencing batch:FC2014_055"/>
    <x v="9"/>
    <n v="11834"/>
    <s v="46, xy"/>
    <x v="14"/>
    <m/>
    <s v="Yes"/>
    <x v="7"/>
  </r>
  <r>
    <s v="ERR1473454"/>
    <s v="sequencing batch:FC2014_069"/>
    <x v="9"/>
    <n v="1558"/>
    <s v="46, xx"/>
    <x v="14"/>
    <m/>
    <s v="Yes"/>
    <x v="7"/>
  </r>
  <r>
    <s v="ERR1473455"/>
    <s v="sequencing batch:FC2014_043"/>
    <x v="9"/>
    <n v="11885"/>
    <s v="46, xy"/>
    <x v="14"/>
    <m/>
    <s v="Yes"/>
    <x v="7"/>
  </r>
  <r>
    <s v="ERR1473456"/>
    <s v="sequencing batch:FC2014_047"/>
    <x v="6"/>
    <n v="11656"/>
    <s v="46, xx"/>
    <x v="14"/>
    <m/>
    <s v="Yes"/>
    <x v="4"/>
  </r>
  <r>
    <s v="ERR1473457"/>
    <s v="sequencing batch:FC2014_047"/>
    <x v="6"/>
    <n v="11609"/>
    <s v="46, xx"/>
    <x v="14"/>
    <m/>
    <s v="Yes"/>
    <x v="4"/>
  </r>
  <r>
    <s v="ERR1473458"/>
    <s v="sequencing batch:FC2014_047"/>
    <x v="6"/>
    <n v="11833"/>
    <s v="46, xx"/>
    <x v="14"/>
    <m/>
    <s v="Yes"/>
    <x v="4"/>
  </r>
  <r>
    <s v="ERR1473459"/>
    <s v="sequencing batch:FC2014_044"/>
    <x v="7"/>
    <n v="11841"/>
    <s v="46, xy"/>
    <x v="14"/>
    <m/>
    <s v="Yes"/>
    <x v="5"/>
  </r>
  <r>
    <s v="ERR1473460"/>
    <s v="sequencing batch:FC2014_045"/>
    <x v="10"/>
    <n v="11882"/>
    <s v="46, xx"/>
    <x v="14"/>
    <m/>
    <s v="Yes"/>
    <x v="0"/>
  </r>
  <r>
    <s v="ERR1473461"/>
    <s v="sequencing batch:FC2014_045"/>
    <x v="22"/>
    <n v="11903"/>
    <s v="46, xx"/>
    <x v="14"/>
    <m/>
    <s v="Yes"/>
    <x v="15"/>
  </r>
  <r>
    <s v="ERR1473462"/>
    <s v="sequencing batch:FC2014_089"/>
    <x v="5"/>
    <n v="11892"/>
    <s v="46, xy"/>
    <x v="14"/>
    <m/>
    <s v="Yes"/>
    <x v="3"/>
  </r>
  <r>
    <s v="ERR1473463"/>
    <s v="sequencing batch:FC2014_053"/>
    <x v="5"/>
    <n v="11844"/>
    <s v="46, xy"/>
    <x v="14"/>
    <m/>
    <s v="No"/>
    <x v="3"/>
  </r>
  <r>
    <s v="ERR1473464"/>
    <s v="sequencing batch:FC2014_065"/>
    <x v="6"/>
    <n v="11893"/>
    <s v="46, xx"/>
    <x v="14"/>
    <m/>
    <s v="Yes"/>
    <x v="4"/>
  </r>
  <r>
    <s v="ERR1473465"/>
    <s v="sequencing batch:FC2014_080"/>
    <x v="9"/>
    <n v="11683"/>
    <s v="46, xx"/>
    <x v="14"/>
    <s v="left"/>
    <s v="Yes"/>
    <x v="7"/>
  </r>
  <r>
    <s v="ERR1473466"/>
    <s v="sequencing batch:FC2014_080"/>
    <x v="9"/>
    <n v="12007"/>
    <s v="46, xy"/>
    <x v="14"/>
    <m/>
    <s v="Yes"/>
    <x v="7"/>
  </r>
  <r>
    <s v="ERR1473467"/>
    <s v="sequencing batch:FC2014_080"/>
    <x v="9"/>
    <n v="11683"/>
    <s v="46, xx"/>
    <x v="14"/>
    <s v="right"/>
    <s v="Yes"/>
    <x v="7"/>
  </r>
  <r>
    <s v="ERR1473468"/>
    <s v="sequencing batch:FC2014_089"/>
    <x v="9"/>
    <n v="11666"/>
    <s v="46, xy"/>
    <x v="14"/>
    <s v="right"/>
    <s v="Yes"/>
    <x v="7"/>
  </r>
  <r>
    <s v="ERR1473469"/>
    <s v="sequencing batch:FC2014_081"/>
    <x v="7"/>
    <n v="11653"/>
    <s v="46, xy"/>
    <x v="14"/>
    <s v="right"/>
    <s v="Yes"/>
    <x v="5"/>
  </r>
  <r>
    <s v="ERR1473470"/>
    <s v="sequencing batch:FC2014_081"/>
    <x v="7"/>
    <n v="11653"/>
    <s v="46, xy"/>
    <x v="14"/>
    <s v="left"/>
    <s v="Yes"/>
    <x v="5"/>
  </r>
  <r>
    <s v="ERR1473471"/>
    <s v="sequencing batch:FC2014_081"/>
    <x v="9"/>
    <n v="11666"/>
    <s v="46, xy"/>
    <x v="14"/>
    <s v="left"/>
    <s v="Yes"/>
    <x v="7"/>
  </r>
  <r>
    <s v="ERR1473472"/>
    <s v="sequencing batch:FC2014_089"/>
    <x v="9"/>
    <n v="11683"/>
    <s v="46, xx"/>
    <x v="14"/>
    <s v="left"/>
    <s v="Yes"/>
    <x v="7"/>
  </r>
  <r>
    <s v="ERR1473473"/>
    <s v="sequencing batch:FC2014_032"/>
    <x v="1"/>
    <n v="11814"/>
    <s v="46, xy"/>
    <x v="15"/>
    <s v="right"/>
    <s v="Yes"/>
    <x v="0"/>
  </r>
  <r>
    <s v="ERR1473474"/>
    <s v="sequencing batch:FC2014_069"/>
    <x v="9"/>
    <n v="11834"/>
    <s v="46, xy"/>
    <x v="15"/>
    <m/>
    <s v="Yes"/>
    <x v="7"/>
  </r>
  <r>
    <s v="ERR1473475"/>
    <s v="sequencing batch:FC2014_066"/>
    <x v="2"/>
    <n v="11873"/>
    <s v="46, xx"/>
    <x v="16"/>
    <m/>
    <s v="Yes"/>
    <x v="1"/>
  </r>
  <r>
    <s v="ERR1473476"/>
    <s v="sequencing batch:FC2014_054"/>
    <x v="4"/>
    <n v="11907"/>
    <s v="46, xx"/>
    <x v="16"/>
    <s v="right"/>
    <s v="Yes"/>
    <x v="2"/>
  </r>
  <r>
    <s v="ERR1473520"/>
    <s v="sequencing batch:FC2014_038"/>
    <x v="0"/>
    <n v="1406"/>
    <s v="46, xx"/>
    <x v="17"/>
    <s v="left"/>
    <s v="Yes"/>
    <x v="0"/>
  </r>
  <r>
    <s v="ERR1473521"/>
    <s v="sequencing batch:FC2014_038"/>
    <x v="0"/>
    <n v="1406"/>
    <s v="46, xx"/>
    <x v="17"/>
    <s v="right"/>
    <s v="Yes"/>
    <x v="0"/>
  </r>
  <r>
    <s v="ERR1473522"/>
    <s v="sequencing batch:FC2014_038"/>
    <x v="0"/>
    <n v="11823"/>
    <s v="46, xy"/>
    <x v="17"/>
    <s v="right"/>
    <s v="Yes"/>
    <x v="0"/>
  </r>
  <r>
    <s v="ERR1473523"/>
    <s v="sequencing batch:FC2014_038"/>
    <x v="0"/>
    <n v="11823"/>
    <s v="46, xy"/>
    <x v="17"/>
    <s v="left"/>
    <s v="Yes"/>
    <x v="0"/>
  </r>
  <r>
    <s v="ERR1473524"/>
    <s v="sequencing batch:FC2014_030"/>
    <x v="0"/>
    <n v="11884"/>
    <s v="46, xx"/>
    <x v="17"/>
    <s v="left"/>
    <s v="Yes"/>
    <x v="0"/>
  </r>
  <r>
    <s v="ERR1473525"/>
    <s v="sequencing batch:FC2014_030"/>
    <x v="0"/>
    <n v="11884"/>
    <s v="46, xx"/>
    <x v="17"/>
    <s v="right"/>
    <s v="Yes"/>
    <x v="0"/>
  </r>
  <r>
    <s v="ERR1473526"/>
    <s v="sequencing batch:FC2014_032"/>
    <x v="1"/>
    <n v="11814"/>
    <s v="46, xy"/>
    <x v="17"/>
    <s v="right"/>
    <s v="Yes"/>
    <x v="0"/>
  </r>
  <r>
    <s v="ERR1473527"/>
    <s v="sequencing batch:FC2014_035, FC2014_117"/>
    <x v="1"/>
    <n v="11828"/>
    <s v="46, xx"/>
    <x v="17"/>
    <s v="left"/>
    <s v="Yes"/>
    <x v="0"/>
  </r>
  <r>
    <s v="ERR1473528"/>
    <s v="sequencing batch:FC2014_035, FC2014_117"/>
    <x v="1"/>
    <n v="11828"/>
    <s v="46, xx"/>
    <x v="17"/>
    <s v="left"/>
    <s v="Yes"/>
    <x v="0"/>
  </r>
  <r>
    <s v="ERR1473529"/>
    <s v="sequencing batch:FC2014_035"/>
    <x v="1"/>
    <n v="11828"/>
    <s v="46, xx"/>
    <x v="17"/>
    <s v="right"/>
    <s v="Yes"/>
    <x v="0"/>
  </r>
  <r>
    <s v="ERR1473530"/>
    <s v="sequencing batch:FC2014_035"/>
    <x v="1"/>
    <n v="11829"/>
    <s v="46, xy"/>
    <x v="17"/>
    <s v="right"/>
    <s v="Yes"/>
    <x v="0"/>
  </r>
  <r>
    <s v="ERR1473531"/>
    <s v="sequencing batch:FC2014_035"/>
    <x v="1"/>
    <n v="11829"/>
    <s v="46, xy"/>
    <x v="17"/>
    <s v="left"/>
    <s v="Yes"/>
    <x v="0"/>
  </r>
  <r>
    <s v="ERR1473532"/>
    <s v="sequencing batch:FC2014_043"/>
    <x v="1"/>
    <n v="11865"/>
    <s v="46, xy"/>
    <x v="17"/>
    <s v="right"/>
    <s v="Yes"/>
    <x v="0"/>
  </r>
  <r>
    <s v="ERR1473533"/>
    <s v="sequencing batch:FC2014_035"/>
    <x v="1"/>
    <n v="11871"/>
    <s v="46, xx"/>
    <x v="17"/>
    <s v="left"/>
    <s v="Yes"/>
    <x v="0"/>
  </r>
  <r>
    <s v="ERR1473534"/>
    <s v="sequencing batch:FC2014_035"/>
    <x v="1"/>
    <n v="11871"/>
    <s v="46, xx"/>
    <x v="17"/>
    <s v="right"/>
    <s v="Yes"/>
    <x v="0"/>
  </r>
  <r>
    <s v="ERR1473535"/>
    <s v="sequencing batch:FC2014_035"/>
    <x v="1"/>
    <n v="11878"/>
    <s v="46, xx"/>
    <x v="17"/>
    <s v="right"/>
    <s v="Yes"/>
    <x v="0"/>
  </r>
  <r>
    <s v="ERR1473536"/>
    <s v="sequencing batch:FC2014_037"/>
    <x v="1"/>
    <n v="11878"/>
    <s v="46, xx"/>
    <x v="17"/>
    <s v="left"/>
    <s v="Yes"/>
    <x v="0"/>
  </r>
  <r>
    <s v="ERR1473537"/>
    <s v="sequencing batch:FC2014_037"/>
    <x v="4"/>
    <n v="11947"/>
    <s v="46, xx"/>
    <x v="17"/>
    <s v="right"/>
    <s v="Yes"/>
    <x v="2"/>
  </r>
  <r>
    <s v="ERR1473538"/>
    <s v="sequencing batch:FC2014_066, FC2014_117"/>
    <x v="2"/>
    <n v="11912"/>
    <s v="46, xy"/>
    <x v="17"/>
    <s v="right"/>
    <s v="Yes"/>
    <x v="1"/>
  </r>
  <r>
    <s v="ERR1473539"/>
    <s v="sequencing batch:FC2014_066, FC2014_117"/>
    <x v="2"/>
    <n v="11912"/>
    <s v="46, xy"/>
    <x v="17"/>
    <s v="right"/>
    <s v="Yes"/>
    <x v="1"/>
  </r>
  <r>
    <s v="ERR1473540"/>
    <s v="sequencing batch:FC2014_066"/>
    <x v="2"/>
    <n v="11912"/>
    <s v="46, xy"/>
    <x v="17"/>
    <s v="left"/>
    <s v="Yes"/>
    <x v="1"/>
  </r>
  <r>
    <s v="ERR1473541"/>
    <s v="sequencing batch:FC2014_055"/>
    <x v="13"/>
    <n v="1290"/>
    <s v="46, xy"/>
    <x v="17"/>
    <s v="left"/>
    <s v="Yes"/>
    <x v="9"/>
  </r>
  <r>
    <s v="ERR1473542"/>
    <s v="sequencing batch:FC2014_047"/>
    <x v="6"/>
    <n v="11609"/>
    <s v="46, xx"/>
    <x v="17"/>
    <s v="right"/>
    <s v="Yes"/>
    <x v="4"/>
  </r>
  <r>
    <s v="ERR1473543"/>
    <s v="sequencing batch:FC2014_047"/>
    <x v="6"/>
    <n v="1123"/>
    <s v="unknown"/>
    <x v="17"/>
    <s v="left"/>
    <s v="Yes"/>
    <x v="4"/>
  </r>
  <r>
    <s v="ERR1473544"/>
    <s v="sequencing batch:FC2014_080"/>
    <x v="9"/>
    <n v="11666"/>
    <s v="46, xy"/>
    <x v="17"/>
    <s v="right"/>
    <s v="Yes"/>
    <x v="7"/>
  </r>
  <r>
    <s v="ERR1473545"/>
    <s v="sequencing batch:FC2014_080"/>
    <x v="9"/>
    <n v="11666"/>
    <s v="46, xy"/>
    <x v="17"/>
    <s v="left"/>
    <s v="Yes"/>
    <x v="7"/>
  </r>
  <r>
    <s v="ERR1473546"/>
    <s v="sequencing batch:FC2014_080"/>
    <x v="9"/>
    <n v="11683"/>
    <s v="46, xx"/>
    <x v="17"/>
    <s v="right"/>
    <s v="Yes"/>
    <x v="7"/>
  </r>
  <r>
    <s v="ERR1473547"/>
    <s v="sequencing batch:FC2014_080"/>
    <x v="7"/>
    <n v="11653"/>
    <s v="46, xy"/>
    <x v="17"/>
    <s v="right"/>
    <s v="Yes"/>
    <x v="5"/>
  </r>
  <r>
    <s v="ERR1473548"/>
    <s v="sequencing batch:FC2014_081"/>
    <x v="7"/>
    <n v="11653"/>
    <s v="46, xy"/>
    <x v="17"/>
    <s v="left"/>
    <s v="Yes"/>
    <x v="5"/>
  </r>
  <r>
    <s v="ERR1473549"/>
    <s v="sequencing batch:FC2014_047"/>
    <x v="6"/>
    <n v="1123"/>
    <s v="unknown"/>
    <x v="17"/>
    <s v="left"/>
    <s v="Yes"/>
    <x v="4"/>
  </r>
  <r>
    <s v="ERR1473550"/>
    <s v="sequencing batch:FC2014_047"/>
    <x v="6"/>
    <n v="1123"/>
    <s v="unknown"/>
    <x v="17"/>
    <s v="left"/>
    <s v="Yes"/>
    <x v="4"/>
  </r>
  <r>
    <s v="ERR1473551"/>
    <s v="sequencing batch:FC2014_080"/>
    <x v="9"/>
    <n v="11666"/>
    <s v="46, xy"/>
    <x v="17"/>
    <s v="right"/>
    <s v="Yes"/>
    <x v="7"/>
  </r>
  <r>
    <s v="ERR1473552"/>
    <s v="sequencing batch:FC2014_080"/>
    <x v="9"/>
    <n v="11666"/>
    <s v="46, xy"/>
    <x v="17"/>
    <s v="right"/>
    <s v="Yes"/>
    <x v="7"/>
  </r>
  <r>
    <s v="ERR1473553"/>
    <s v="sequencing batch:FC2014_080"/>
    <x v="9"/>
    <n v="11666"/>
    <s v="46, xy"/>
    <x v="17"/>
    <s v="left"/>
    <s v="Yes"/>
    <x v="7"/>
  </r>
  <r>
    <s v="ERR1473554"/>
    <s v="sequencing batch:FC2014_089"/>
    <x v="7"/>
    <n v="11653"/>
    <s v="46, xy"/>
    <x v="17"/>
    <s v="right"/>
    <s v="Yes"/>
    <x v="5"/>
  </r>
  <r>
    <s v="ERR1473555"/>
    <s v="sequencing batch:FC2014_089"/>
    <x v="9"/>
    <n v="11683"/>
    <s v="46, xx"/>
    <x v="17"/>
    <s v="right"/>
    <s v="Yes"/>
    <x v="7"/>
  </r>
  <r>
    <s v="ERR1473556"/>
    <s v="sequencing batch:FC2014_089"/>
    <x v="9"/>
    <n v="11683"/>
    <s v="46, xx"/>
    <x v="17"/>
    <s v="left"/>
    <s v="Yes"/>
    <x v="7"/>
  </r>
  <r>
    <s v="ERR1473557"/>
    <s v="sequencing batch:FC2014_080"/>
    <x v="7"/>
    <n v="11653"/>
    <s v="46, xy"/>
    <x v="17"/>
    <s v="left"/>
    <s v="Yes"/>
    <x v="5"/>
  </r>
  <r>
    <s v="ERR1473558"/>
    <s v="sequencing batch:FC2014_047"/>
    <x v="6"/>
    <n v="1123"/>
    <s v="unknown"/>
    <x v="17"/>
    <s v="left"/>
    <s v="Yes"/>
    <x v="4"/>
  </r>
  <r>
    <s v="ERR1473559"/>
    <s v="sequencing batch:FC2014_047"/>
    <x v="6"/>
    <n v="1123"/>
    <s v="unknown"/>
    <x v="17"/>
    <s v="left"/>
    <s v="Yes"/>
    <x v="4"/>
  </r>
  <r>
    <s v="ERR1473560"/>
    <s v="sequencing batch:FC2014_047"/>
    <x v="6"/>
    <n v="1123"/>
    <s v="unknown"/>
    <x v="17"/>
    <s v="left"/>
    <s v="Yes"/>
    <x v="4"/>
  </r>
  <r>
    <s v="ERR1473561"/>
    <s v="sequencing batch:FC2014_035"/>
    <x v="2"/>
    <n v="11820"/>
    <s v="46, xx"/>
    <x v="18"/>
    <s v="left"/>
    <s v="Yes"/>
    <x v="1"/>
  </r>
  <r>
    <s v="ERR1473562"/>
    <s v="sequencing batch:FC2014_054, FC2014_151"/>
    <x v="20"/>
    <n v="1117"/>
    <s v="unknown"/>
    <x v="18"/>
    <s v="left"/>
    <s v="Yes"/>
    <x v="14"/>
  </r>
  <r>
    <s v="ERR1473563"/>
    <s v="sequencing batch:FC2014_054, FC2014_151"/>
    <x v="20"/>
    <n v="1117"/>
    <s v="unknown"/>
    <x v="18"/>
    <s v="left"/>
    <s v="Yes"/>
    <x v="14"/>
  </r>
  <r>
    <s v="ERR1473564"/>
    <s v="sequencing batch:FC2014_055"/>
    <x v="13"/>
    <n v="11900"/>
    <s v="46, xy"/>
    <x v="18"/>
    <s v="right"/>
    <s v="Yes"/>
    <x v="9"/>
  </r>
  <r>
    <s v="ERR1473565"/>
    <s v="sequencing batch:FC2014_055"/>
    <x v="13"/>
    <n v="11900"/>
    <s v="46, xy"/>
    <x v="18"/>
    <m/>
    <s v="Yes"/>
    <x v="9"/>
  </r>
  <r>
    <s v="ERR1473566"/>
    <s v="sequencing batch:FC2014_043"/>
    <x v="9"/>
    <n v="11885"/>
    <s v="46, xy"/>
    <x v="18"/>
    <s v="right"/>
    <s v="Yes"/>
    <x v="7"/>
  </r>
  <r>
    <s v="ERR1473567"/>
    <s v="sequencing batch:FC2014_047"/>
    <x v="6"/>
    <n v="1110"/>
    <s v="unknown"/>
    <x v="18"/>
    <s v="right"/>
    <s v="Yes"/>
    <x v="4"/>
  </r>
  <r>
    <s v="ERR1473568"/>
    <s v="sequencing batch:FC2014_044"/>
    <x v="6"/>
    <n v="11833"/>
    <s v="46, xx"/>
    <x v="18"/>
    <s v="right"/>
    <s v="Yes"/>
    <x v="4"/>
  </r>
  <r>
    <s v="ERR1473569"/>
    <s v="sequencing batch:FC2014_048"/>
    <x v="0"/>
    <n v="1851"/>
    <s v="unknown"/>
    <x v="18"/>
    <m/>
    <s v="No"/>
    <x v="0"/>
  </r>
  <r>
    <s v="ERR1473570"/>
    <s v="sequencing batch:FC2014_050"/>
    <x v="20"/>
    <n v="1117"/>
    <s v="unknown"/>
    <x v="18"/>
    <s v="left"/>
    <s v="Yes"/>
    <x v="14"/>
  </r>
  <r>
    <s v="ERR1473571"/>
    <s v="sequencing batch:FC2014_065"/>
    <x v="6"/>
    <n v="1123"/>
    <s v="unknown"/>
    <x v="18"/>
    <s v="left"/>
    <s v="Yes"/>
    <x v="4"/>
  </r>
  <r>
    <s v="ERR1473572"/>
    <s v="sequencing batch:FC2014_065"/>
    <x v="6"/>
    <n v="1111"/>
    <s v="unknown"/>
    <x v="18"/>
    <s v="right"/>
    <s v="Yes"/>
    <x v="4"/>
  </r>
  <r>
    <s v="ERR1473573"/>
    <s v="sequencing batch:FC2014_032"/>
    <x v="2"/>
    <n v="11820"/>
    <s v="46, xx"/>
    <x v="18"/>
    <s v="right"/>
    <s v="Yes"/>
    <x v="1"/>
  </r>
  <r>
    <s v="ERR1473574"/>
    <s v="sequencing batch:FC2014_043"/>
    <x v="2"/>
    <n v="11845"/>
    <s v="46, xy"/>
    <x v="18"/>
    <s v="left"/>
    <s v="Yes"/>
    <x v="1"/>
  </r>
  <r>
    <s v="ERR1473575"/>
    <s v="sequencing batch:FC2014_043"/>
    <x v="2"/>
    <n v="11845"/>
    <s v="46, xy"/>
    <x v="18"/>
    <s v="right"/>
    <s v="Yes"/>
    <x v="1"/>
  </r>
  <r>
    <s v="ERR1473576"/>
    <s v="sequencing batch:FC2014_043"/>
    <x v="2"/>
    <n v="11851"/>
    <s v="46, xx"/>
    <x v="18"/>
    <s v="right"/>
    <s v="Yes"/>
    <x v="1"/>
  </r>
  <r>
    <s v="ERR1473577"/>
    <s v="sequencing batch:FC2014_066"/>
    <x v="2"/>
    <n v="11873"/>
    <s v="46, xx"/>
    <x v="18"/>
    <s v="right"/>
    <s v="Yes"/>
    <x v="1"/>
  </r>
  <r>
    <s v="ERR1473578"/>
    <s v="sequencing batch:FC2014_054"/>
    <x v="4"/>
    <n v="11907"/>
    <s v="46, xx"/>
    <x v="18"/>
    <s v="right"/>
    <s v="Yes"/>
    <x v="2"/>
  </r>
  <r>
    <s v="ERR1473579"/>
    <s v="sequencing batch:FC2014_055"/>
    <x v="9"/>
    <n v="1118"/>
    <s v="unknown"/>
    <x v="18"/>
    <s v="right"/>
    <s v="Yes"/>
    <x v="7"/>
  </r>
  <r>
    <s v="ERR1473580"/>
    <s v="sequencing batch:FC2014_055"/>
    <x v="9"/>
    <n v="11834"/>
    <s v="46, xy"/>
    <x v="18"/>
    <s v="left"/>
    <s v="Yes"/>
    <x v="7"/>
  </r>
  <r>
    <s v="ERR1473581"/>
    <s v="sequencing batch:FC2014_058"/>
    <x v="9"/>
    <n v="11834"/>
    <s v="46, xy"/>
    <x v="18"/>
    <s v="right"/>
    <s v="Yes"/>
    <x v="7"/>
  </r>
  <r>
    <s v="ERR1473582"/>
    <s v="sequencing batch:FC2014_043"/>
    <x v="9"/>
    <n v="11885"/>
    <s v="46, xy"/>
    <x v="18"/>
    <s v="left"/>
    <s v="Yes"/>
    <x v="7"/>
  </r>
  <r>
    <s v="ERR1473583"/>
    <s v="sequencing batch:FC2014_047"/>
    <x v="9"/>
    <n v="11885"/>
    <s v="46, xy"/>
    <x v="18"/>
    <s v="right"/>
    <s v="Yes"/>
    <x v="7"/>
  </r>
  <r>
    <s v="ERR1473584"/>
    <s v="sequencing batch:FC2014_075"/>
    <x v="6"/>
    <n v="11930"/>
    <s v="46, xx"/>
    <x v="18"/>
    <s v="right"/>
    <s v="Yes"/>
    <x v="4"/>
  </r>
  <r>
    <s v="ERR1473585"/>
    <s v="sequencing batch:FC2014_044"/>
    <x v="7"/>
    <n v="11841"/>
    <s v="46, xy"/>
    <x v="18"/>
    <s v="right"/>
    <s v="Yes"/>
    <x v="5"/>
  </r>
  <r>
    <s v="ERR1473586"/>
    <s v="sequencing batch:FC2014_045"/>
    <x v="5"/>
    <n v="11947"/>
    <s v="46, xx"/>
    <x v="18"/>
    <s v="right"/>
    <s v="Yes"/>
    <x v="3"/>
  </r>
  <r>
    <s v="ERR1473587"/>
    <s v="sequencing batch:FC2014_044"/>
    <x v="8"/>
    <n v="11921"/>
    <s v="46, xy"/>
    <x v="18"/>
    <s v="left"/>
    <s v="Yes"/>
    <x v="6"/>
  </r>
  <r>
    <s v="ERR1473588"/>
    <s v="sequencing batch:FC2014_080"/>
    <x v="6"/>
    <n v="11942"/>
    <s v="46, xx"/>
    <x v="18"/>
    <s v="right"/>
    <s v="Yes"/>
    <x v="4"/>
  </r>
  <r>
    <s v="ERR1473589"/>
    <s v="sequencing batch:FC2014_080"/>
    <x v="6"/>
    <n v="11942"/>
    <s v="46, xx"/>
    <x v="18"/>
    <s v="left"/>
    <s v="Yes"/>
    <x v="4"/>
  </r>
  <r>
    <s v="ERR1473590"/>
    <s v="sequencing batch:FC2014_043"/>
    <x v="2"/>
    <n v="11845"/>
    <s v="46, xy"/>
    <x v="18"/>
    <s v="left"/>
    <s v="Yes"/>
    <x v="1"/>
  </r>
  <r>
    <s v="ERR1473591"/>
    <s v="sequencing batch:FC2014_043"/>
    <x v="2"/>
    <n v="11845"/>
    <s v="46, xy"/>
    <x v="18"/>
    <s v="right"/>
    <s v="Yes"/>
    <x v="1"/>
  </r>
  <r>
    <s v="ERR1473592"/>
    <s v="sequencing batch:FC2014_066"/>
    <x v="2"/>
    <n v="11851"/>
    <s v="46, xx"/>
    <x v="18"/>
    <s v="left"/>
    <s v="Yes"/>
    <x v="1"/>
  </r>
  <r>
    <s v="ERR1473593"/>
    <s v="sequencing batch:FC2014_066"/>
    <x v="2"/>
    <n v="11851"/>
    <s v="46, xx"/>
    <x v="18"/>
    <s v="right"/>
    <s v="Yes"/>
    <x v="1"/>
  </r>
  <r>
    <s v="ERR1473594"/>
    <s v="sequencing batch:FC2014_066"/>
    <x v="2"/>
    <n v="11873"/>
    <s v="46, xx"/>
    <x v="18"/>
    <s v="right"/>
    <s v="Yes"/>
    <x v="1"/>
  </r>
  <r>
    <s v="ERR1473595"/>
    <s v="sequencing batch:FC2014_054"/>
    <x v="4"/>
    <n v="11907"/>
    <s v="46, xx"/>
    <x v="18"/>
    <s v="right"/>
    <s v="Yes"/>
    <x v="2"/>
  </r>
  <r>
    <s v="ERR1473596"/>
    <s v="sequencing batch:FC2014_055"/>
    <x v="9"/>
    <n v="11834"/>
    <s v="46, xy"/>
    <x v="18"/>
    <s v="left"/>
    <s v="Yes"/>
    <x v="7"/>
  </r>
  <r>
    <s v="ERR1473597"/>
    <s v="sequencing batch:FC2014_058"/>
    <x v="9"/>
    <n v="11834"/>
    <s v="46, xy"/>
    <x v="18"/>
    <s v="right"/>
    <s v="Yes"/>
    <x v="7"/>
  </r>
  <r>
    <s v="ERR1473598"/>
    <s v="sequencing batch:FC2014_058"/>
    <x v="9"/>
    <n v="11885"/>
    <s v="46, xy"/>
    <x v="18"/>
    <s v="left"/>
    <s v="Yes"/>
    <x v="7"/>
  </r>
  <r>
    <s v="ERR1473599"/>
    <s v="sequencing batch:FC2014_044"/>
    <x v="7"/>
    <n v="11841"/>
    <s v="46, xy"/>
    <x v="18"/>
    <s v="right"/>
    <s v="Yes"/>
    <x v="5"/>
  </r>
  <r>
    <s v="ERR1473600"/>
    <s v="sequencing batch:FC2014_058"/>
    <x v="9"/>
    <n v="1118"/>
    <s v="unknown"/>
    <x v="18"/>
    <s v="right"/>
    <s v="Yes"/>
    <x v="7"/>
  </r>
  <r>
    <s v="ERR1473601"/>
    <s v="sequencing batch:FC2014_065"/>
    <x v="6"/>
    <n v="1110"/>
    <s v="unknown"/>
    <x v="18"/>
    <s v="right"/>
    <s v="Yes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44C9A4-8BF8-46A8-8B71-933B49828CA0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R24" firstHeaderRow="1" firstDataRow="2" firstDataCol="1" rowPageCount="1" colPageCount="1"/>
  <pivotFields count="9">
    <pivotField dataField="1" showAll="0"/>
    <pivotField showAll="0"/>
    <pivotField axis="axisPage" showAll="0">
      <items count="36">
        <item m="1" x="28"/>
        <item m="1" x="27"/>
        <item m="1" x="30"/>
        <item m="1" x="26"/>
        <item m="1" x="31"/>
        <item m="1" x="34"/>
        <item m="1" x="25"/>
        <item m="1" x="29"/>
        <item m="1" x="32"/>
        <item m="1" x="33"/>
        <item m="1" x="23"/>
        <item x="22"/>
        <item x="21"/>
        <item x="18"/>
        <item x="17"/>
        <item x="16"/>
        <item x="12"/>
        <item x="11"/>
        <item x="14"/>
        <item x="10"/>
        <item x="1"/>
        <item x="0"/>
        <item m="1" x="24"/>
        <item x="2"/>
        <item x="3"/>
        <item x="4"/>
        <item x="5"/>
        <item x="6"/>
        <item x="7"/>
        <item x="8"/>
        <item x="9"/>
        <item x="13"/>
        <item x="15"/>
        <item x="19"/>
        <item x="20"/>
        <item t="default"/>
      </items>
    </pivotField>
    <pivotField showAll="0"/>
    <pivotField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m="1" x="19"/>
        <item x="17"/>
        <item x="18"/>
        <item t="default"/>
      </items>
    </pivotField>
    <pivotField showAll="0"/>
    <pivotField showAll="0"/>
    <pivotField axis="axisCol" showAll="0">
      <items count="17">
        <item x="5"/>
        <item x="4"/>
        <item x="7"/>
        <item x="3"/>
        <item x="9"/>
        <item x="14"/>
        <item x="2"/>
        <item x="6"/>
        <item x="10"/>
        <item x="13"/>
        <item x="15"/>
        <item x="12"/>
        <item x="11"/>
        <item x="8"/>
        <item x="0"/>
        <item x="1"/>
        <item t="default"/>
      </items>
    </pivotField>
  </pivotFields>
  <rowFields count="1">
    <field x="5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8"/>
    </i>
    <i>
      <x v="19"/>
    </i>
    <i t="grand">
      <x/>
    </i>
  </rowItems>
  <colFields count="1">
    <field x="8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pageFields count="1">
    <pageField fld="2" hier="-1"/>
  </pageFields>
  <dataFields count="1">
    <dataField name="Count of Ru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DA028-947A-4174-8F3C-E3501E6C2698}">
  <dimension ref="A1:R24"/>
  <sheetViews>
    <sheetView workbookViewId="0">
      <selection activeCell="S26" sqref="S26"/>
    </sheetView>
  </sheetViews>
  <sheetFormatPr defaultRowHeight="15" x14ac:dyDescent="0.25"/>
  <cols>
    <col min="1" max="1" width="40.85546875" bestFit="1" customWidth="1"/>
    <col min="2" max="2" width="16.85546875" bestFit="1" customWidth="1"/>
    <col min="3" max="11" width="7" bestFit="1" customWidth="1"/>
    <col min="12" max="17" width="6" bestFit="1" customWidth="1"/>
    <col min="18" max="18" width="11.28515625" bestFit="1" customWidth="1"/>
    <col min="19" max="24" width="7" bestFit="1" customWidth="1"/>
    <col min="25" max="25" width="11.28515625" bestFit="1" customWidth="1"/>
  </cols>
  <sheetData>
    <row r="1" spans="1:18" x14ac:dyDescent="0.25">
      <c r="A1" s="2" t="s">
        <v>2</v>
      </c>
      <c r="B1" t="s">
        <v>688</v>
      </c>
    </row>
    <row r="3" spans="1:18" x14ac:dyDescent="0.25">
      <c r="A3" s="2" t="s">
        <v>669</v>
      </c>
      <c r="B3" s="2" t="s">
        <v>670</v>
      </c>
    </row>
    <row r="4" spans="1:18" x14ac:dyDescent="0.25">
      <c r="A4" s="2" t="s">
        <v>667</v>
      </c>
      <c r="B4" t="s">
        <v>677</v>
      </c>
      <c r="C4" t="s">
        <v>676</v>
      </c>
      <c r="D4" t="s">
        <v>679</v>
      </c>
      <c r="E4" t="s">
        <v>675</v>
      </c>
      <c r="F4" t="s">
        <v>681</v>
      </c>
      <c r="G4" t="s">
        <v>686</v>
      </c>
      <c r="H4" t="s">
        <v>674</v>
      </c>
      <c r="I4" t="s">
        <v>678</v>
      </c>
      <c r="J4" t="s">
        <v>682</v>
      </c>
      <c r="K4" t="s">
        <v>685</v>
      </c>
      <c r="L4" t="s">
        <v>687</v>
      </c>
      <c r="M4" t="s">
        <v>684</v>
      </c>
      <c r="N4" t="s">
        <v>683</v>
      </c>
      <c r="O4" t="s">
        <v>680</v>
      </c>
      <c r="P4" t="s">
        <v>671</v>
      </c>
      <c r="Q4" t="s">
        <v>672</v>
      </c>
      <c r="R4" t="s">
        <v>668</v>
      </c>
    </row>
    <row r="5" spans="1:18" x14ac:dyDescent="0.25">
      <c r="A5" s="3" t="s">
        <v>13</v>
      </c>
      <c r="B5" s="4">
        <v>1</v>
      </c>
      <c r="C5" s="4">
        <v>5</v>
      </c>
      <c r="D5" s="4">
        <v>2</v>
      </c>
      <c r="E5" s="4">
        <v>3</v>
      </c>
      <c r="F5" s="4"/>
      <c r="G5" s="4"/>
      <c r="H5" s="4">
        <v>1</v>
      </c>
      <c r="I5" s="4">
        <v>1</v>
      </c>
      <c r="J5" s="4"/>
      <c r="K5" s="4"/>
      <c r="L5" s="4"/>
      <c r="M5" s="4"/>
      <c r="N5" s="4"/>
      <c r="O5" s="4"/>
      <c r="P5" s="4">
        <v>15</v>
      </c>
      <c r="Q5" s="4">
        <v>6</v>
      </c>
      <c r="R5" s="4">
        <v>34</v>
      </c>
    </row>
    <row r="6" spans="1:18" x14ac:dyDescent="0.25">
      <c r="A6" s="3" t="s">
        <v>68</v>
      </c>
      <c r="B6" s="4">
        <v>1</v>
      </c>
      <c r="C6" s="4">
        <v>4</v>
      </c>
      <c r="D6" s="4">
        <v>4</v>
      </c>
      <c r="E6" s="4">
        <v>12</v>
      </c>
      <c r="F6" s="4">
        <v>9</v>
      </c>
      <c r="G6" s="4">
        <v>2</v>
      </c>
      <c r="H6" s="4">
        <v>2</v>
      </c>
      <c r="I6" s="4">
        <v>3</v>
      </c>
      <c r="J6" s="4">
        <v>2</v>
      </c>
      <c r="K6" s="4">
        <v>1</v>
      </c>
      <c r="L6" s="4"/>
      <c r="M6" s="4">
        <v>2</v>
      </c>
      <c r="N6" s="4">
        <v>3</v>
      </c>
      <c r="O6" s="4">
        <v>21</v>
      </c>
      <c r="P6" s="4">
        <v>33</v>
      </c>
      <c r="Q6" s="4">
        <v>1</v>
      </c>
      <c r="R6" s="4">
        <v>100</v>
      </c>
    </row>
    <row r="7" spans="1:18" x14ac:dyDescent="0.25">
      <c r="A7" s="3" t="s">
        <v>188</v>
      </c>
      <c r="B7" s="4">
        <v>2</v>
      </c>
      <c r="C7" s="4">
        <v>4</v>
      </c>
      <c r="D7" s="4">
        <v>4</v>
      </c>
      <c r="E7" s="4">
        <v>2</v>
      </c>
      <c r="F7" s="4"/>
      <c r="G7" s="4"/>
      <c r="H7" s="4">
        <v>1</v>
      </c>
      <c r="I7" s="4">
        <v>1</v>
      </c>
      <c r="J7" s="4"/>
      <c r="K7" s="4"/>
      <c r="L7" s="4"/>
      <c r="M7" s="4"/>
      <c r="N7" s="4"/>
      <c r="O7" s="4"/>
      <c r="P7" s="4">
        <v>17</v>
      </c>
      <c r="Q7" s="4">
        <v>5</v>
      </c>
      <c r="R7" s="4">
        <v>36</v>
      </c>
    </row>
    <row r="8" spans="1:18" x14ac:dyDescent="0.25">
      <c r="A8" s="3" t="s">
        <v>225</v>
      </c>
      <c r="B8" s="4">
        <v>4</v>
      </c>
      <c r="C8" s="4">
        <v>18</v>
      </c>
      <c r="D8" s="4">
        <v>25</v>
      </c>
      <c r="E8" s="4">
        <v>6</v>
      </c>
      <c r="F8" s="4">
        <v>4</v>
      </c>
      <c r="G8" s="4">
        <v>8</v>
      </c>
      <c r="H8" s="4">
        <v>10</v>
      </c>
      <c r="I8" s="4">
        <v>4</v>
      </c>
      <c r="J8" s="4"/>
      <c r="K8" s="4"/>
      <c r="L8" s="4"/>
      <c r="M8" s="4"/>
      <c r="N8" s="4"/>
      <c r="O8" s="4"/>
      <c r="P8" s="4">
        <v>17</v>
      </c>
      <c r="Q8" s="4">
        <v>28</v>
      </c>
      <c r="R8" s="4">
        <v>124</v>
      </c>
    </row>
    <row r="9" spans="1:18" x14ac:dyDescent="0.25">
      <c r="A9" s="3" t="s">
        <v>356</v>
      </c>
      <c r="B9" s="4">
        <v>4</v>
      </c>
      <c r="C9" s="4">
        <v>5</v>
      </c>
      <c r="D9" s="4">
        <v>3</v>
      </c>
      <c r="E9" s="4">
        <v>4</v>
      </c>
      <c r="F9" s="4">
        <v>1</v>
      </c>
      <c r="G9" s="4"/>
      <c r="H9" s="4">
        <v>2</v>
      </c>
      <c r="I9" s="4"/>
      <c r="J9" s="4"/>
      <c r="K9" s="4"/>
      <c r="L9" s="4"/>
      <c r="M9" s="4"/>
      <c r="N9" s="4"/>
      <c r="O9" s="4"/>
      <c r="P9" s="4">
        <v>25</v>
      </c>
      <c r="Q9" s="4">
        <v>6</v>
      </c>
      <c r="R9" s="4">
        <v>50</v>
      </c>
    </row>
    <row r="10" spans="1:18" x14ac:dyDescent="0.25">
      <c r="A10" s="3" t="s">
        <v>414</v>
      </c>
      <c r="B10" s="4"/>
      <c r="C10" s="4"/>
      <c r="D10" s="4"/>
      <c r="E10" s="4"/>
      <c r="F10" s="4">
        <v>1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>
        <v>1</v>
      </c>
    </row>
    <row r="11" spans="1:18" x14ac:dyDescent="0.25">
      <c r="A11" s="3" t="s">
        <v>416</v>
      </c>
      <c r="B11" s="4">
        <v>2</v>
      </c>
      <c r="C11" s="4">
        <v>2</v>
      </c>
      <c r="D11" s="4">
        <v>3</v>
      </c>
      <c r="E11" s="4"/>
      <c r="F11" s="4"/>
      <c r="G11" s="4"/>
      <c r="H11" s="4"/>
      <c r="I11" s="4"/>
      <c r="J11" s="4"/>
      <c r="K11" s="4"/>
      <c r="L11" s="4">
        <v>1</v>
      </c>
      <c r="M11" s="4">
        <v>2</v>
      </c>
      <c r="N11" s="4">
        <v>1</v>
      </c>
      <c r="O11" s="4">
        <v>1</v>
      </c>
      <c r="P11" s="4">
        <v>6</v>
      </c>
      <c r="Q11" s="4">
        <v>3</v>
      </c>
      <c r="R11" s="4">
        <v>21</v>
      </c>
    </row>
    <row r="12" spans="1:18" x14ac:dyDescent="0.25">
      <c r="A12" s="3" t="s">
        <v>439</v>
      </c>
      <c r="B12" s="4">
        <v>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>
        <v>1</v>
      </c>
    </row>
    <row r="13" spans="1:18" x14ac:dyDescent="0.25">
      <c r="A13" s="3" t="s">
        <v>441</v>
      </c>
      <c r="B13" s="4"/>
      <c r="C13" s="4">
        <v>1</v>
      </c>
      <c r="D13" s="4"/>
      <c r="E13" s="4">
        <v>1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>
        <v>1</v>
      </c>
      <c r="Q13" s="4">
        <v>2</v>
      </c>
      <c r="R13" s="4">
        <v>5</v>
      </c>
    </row>
    <row r="14" spans="1:18" x14ac:dyDescent="0.25">
      <c r="A14" s="3" t="s">
        <v>449</v>
      </c>
      <c r="B14" s="4">
        <v>1</v>
      </c>
      <c r="C14" s="4">
        <v>2</v>
      </c>
      <c r="D14" s="4">
        <v>5</v>
      </c>
      <c r="E14" s="4"/>
      <c r="F14" s="4">
        <v>2</v>
      </c>
      <c r="G14" s="4"/>
      <c r="H14" s="4"/>
      <c r="I14" s="4"/>
      <c r="J14" s="4"/>
      <c r="K14" s="4"/>
      <c r="L14" s="4"/>
      <c r="M14" s="4">
        <v>2</v>
      </c>
      <c r="N14" s="4">
        <v>2</v>
      </c>
      <c r="O14" s="4">
        <v>4</v>
      </c>
      <c r="P14" s="4">
        <v>9</v>
      </c>
      <c r="Q14" s="4">
        <v>5</v>
      </c>
      <c r="R14" s="4">
        <v>32</v>
      </c>
    </row>
    <row r="15" spans="1:18" x14ac:dyDescent="0.25">
      <c r="A15" s="3" t="s">
        <v>482</v>
      </c>
      <c r="B15" s="4"/>
      <c r="C15" s="4"/>
      <c r="D15" s="4">
        <v>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>
        <v>1</v>
      </c>
    </row>
    <row r="16" spans="1:18" x14ac:dyDescent="0.25">
      <c r="A16" s="3" t="s">
        <v>484</v>
      </c>
      <c r="B16" s="4"/>
      <c r="C16" s="4"/>
      <c r="D16" s="4">
        <v>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>
        <v>2</v>
      </c>
      <c r="Q16" s="4"/>
      <c r="R16" s="4">
        <v>3</v>
      </c>
    </row>
    <row r="17" spans="1:18" x14ac:dyDescent="0.25">
      <c r="A17" s="3" t="s">
        <v>488</v>
      </c>
      <c r="B17" s="4"/>
      <c r="C17" s="4"/>
      <c r="D17" s="4"/>
      <c r="E17" s="4"/>
      <c r="F17" s="4"/>
      <c r="G17" s="4"/>
      <c r="H17" s="4">
        <v>1</v>
      </c>
      <c r="I17" s="4">
        <v>1</v>
      </c>
      <c r="J17" s="4"/>
      <c r="K17" s="4"/>
      <c r="L17" s="4"/>
      <c r="M17" s="4"/>
      <c r="N17" s="4"/>
      <c r="O17" s="4"/>
      <c r="P17" s="4"/>
      <c r="Q17" s="4"/>
      <c r="R17" s="4">
        <v>2</v>
      </c>
    </row>
    <row r="18" spans="1:18" x14ac:dyDescent="0.25">
      <c r="A18" s="3" t="s">
        <v>491</v>
      </c>
      <c r="B18" s="4">
        <v>2</v>
      </c>
      <c r="C18" s="4">
        <v>2</v>
      </c>
      <c r="D18" s="4"/>
      <c r="E18" s="4">
        <v>3</v>
      </c>
      <c r="F18" s="4"/>
      <c r="G18" s="4"/>
      <c r="H18" s="4">
        <v>1</v>
      </c>
      <c r="I18" s="4"/>
      <c r="J18" s="4"/>
      <c r="K18" s="4"/>
      <c r="L18" s="4"/>
      <c r="M18" s="4"/>
      <c r="N18" s="4"/>
      <c r="O18" s="4"/>
      <c r="P18" s="4">
        <v>14</v>
      </c>
      <c r="Q18" s="4">
        <v>4</v>
      </c>
      <c r="R18" s="4">
        <v>26</v>
      </c>
    </row>
    <row r="19" spans="1:18" x14ac:dyDescent="0.25">
      <c r="A19" s="3" t="s">
        <v>519</v>
      </c>
      <c r="B19" s="4">
        <v>3</v>
      </c>
      <c r="C19" s="4">
        <v>4</v>
      </c>
      <c r="D19" s="4">
        <v>10</v>
      </c>
      <c r="E19" s="4">
        <v>3</v>
      </c>
      <c r="F19" s="4"/>
      <c r="G19" s="4"/>
      <c r="H19" s="4">
        <v>1</v>
      </c>
      <c r="I19" s="4"/>
      <c r="J19" s="4"/>
      <c r="K19" s="4"/>
      <c r="L19" s="4">
        <v>1</v>
      </c>
      <c r="M19" s="4">
        <v>2</v>
      </c>
      <c r="N19" s="4">
        <v>1</v>
      </c>
      <c r="O19" s="4">
        <v>1</v>
      </c>
      <c r="P19" s="4">
        <v>22</v>
      </c>
      <c r="Q19" s="4">
        <v>8</v>
      </c>
      <c r="R19" s="4">
        <v>56</v>
      </c>
    </row>
    <row r="20" spans="1:18" x14ac:dyDescent="0.25">
      <c r="A20" s="3" t="s">
        <v>576</v>
      </c>
      <c r="B20" s="4"/>
      <c r="C20" s="4"/>
      <c r="D20" s="4">
        <v>1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>
        <v>1</v>
      </c>
      <c r="Q20" s="4"/>
      <c r="R20" s="4">
        <v>2</v>
      </c>
    </row>
    <row r="21" spans="1:18" x14ac:dyDescent="0.25">
      <c r="A21" s="3" t="s">
        <v>579</v>
      </c>
      <c r="B21" s="4"/>
      <c r="C21" s="4"/>
      <c r="D21" s="4"/>
      <c r="E21" s="4"/>
      <c r="F21" s="4"/>
      <c r="G21" s="4"/>
      <c r="H21" s="4">
        <v>1</v>
      </c>
      <c r="I21" s="4"/>
      <c r="J21" s="4"/>
      <c r="K21" s="4"/>
      <c r="L21" s="4"/>
      <c r="M21" s="4"/>
      <c r="N21" s="4"/>
      <c r="O21" s="4"/>
      <c r="P21" s="4"/>
      <c r="Q21" s="4">
        <v>1</v>
      </c>
      <c r="R21" s="4">
        <v>2</v>
      </c>
    </row>
    <row r="22" spans="1:18" x14ac:dyDescent="0.25">
      <c r="A22" s="3" t="s">
        <v>582</v>
      </c>
      <c r="B22" s="4">
        <v>4</v>
      </c>
      <c r="C22" s="4">
        <v>7</v>
      </c>
      <c r="D22" s="4">
        <v>8</v>
      </c>
      <c r="E22" s="4"/>
      <c r="F22" s="4">
        <v>1</v>
      </c>
      <c r="G22" s="4"/>
      <c r="H22" s="4">
        <v>1</v>
      </c>
      <c r="I22" s="4"/>
      <c r="J22" s="4"/>
      <c r="K22" s="4"/>
      <c r="L22" s="4"/>
      <c r="M22" s="4"/>
      <c r="N22" s="4"/>
      <c r="O22" s="4"/>
      <c r="P22" s="4">
        <v>17</v>
      </c>
      <c r="Q22" s="4">
        <v>3</v>
      </c>
      <c r="R22" s="4">
        <v>41</v>
      </c>
    </row>
    <row r="23" spans="1:18" x14ac:dyDescent="0.25">
      <c r="A23" s="3" t="s">
        <v>625</v>
      </c>
      <c r="B23" s="4">
        <v>2</v>
      </c>
      <c r="C23" s="4">
        <v>8</v>
      </c>
      <c r="D23" s="4">
        <v>10</v>
      </c>
      <c r="E23" s="4">
        <v>1</v>
      </c>
      <c r="F23" s="4">
        <v>2</v>
      </c>
      <c r="G23" s="4">
        <v>3</v>
      </c>
      <c r="H23" s="4">
        <v>2</v>
      </c>
      <c r="I23" s="4">
        <v>1</v>
      </c>
      <c r="J23" s="4"/>
      <c r="K23" s="4"/>
      <c r="L23" s="4"/>
      <c r="M23" s="4"/>
      <c r="N23" s="4"/>
      <c r="O23" s="4"/>
      <c r="P23" s="4">
        <v>1</v>
      </c>
      <c r="Q23" s="4">
        <v>11</v>
      </c>
      <c r="R23" s="4">
        <v>41</v>
      </c>
    </row>
    <row r="24" spans="1:18" x14ac:dyDescent="0.25">
      <c r="A24" s="3" t="s">
        <v>668</v>
      </c>
      <c r="B24" s="4">
        <v>27</v>
      </c>
      <c r="C24" s="4">
        <v>62</v>
      </c>
      <c r="D24" s="4">
        <v>77</v>
      </c>
      <c r="E24" s="4">
        <v>35</v>
      </c>
      <c r="F24" s="4">
        <v>20</v>
      </c>
      <c r="G24" s="4">
        <v>13</v>
      </c>
      <c r="H24" s="4">
        <v>23</v>
      </c>
      <c r="I24" s="4">
        <v>11</v>
      </c>
      <c r="J24" s="4">
        <v>2</v>
      </c>
      <c r="K24" s="4">
        <v>1</v>
      </c>
      <c r="L24" s="4">
        <v>2</v>
      </c>
      <c r="M24" s="4">
        <v>8</v>
      </c>
      <c r="N24" s="4">
        <v>7</v>
      </c>
      <c r="O24" s="4">
        <v>27</v>
      </c>
      <c r="P24" s="4">
        <v>180</v>
      </c>
      <c r="Q24" s="4">
        <v>83</v>
      </c>
      <c r="R24" s="4">
        <v>578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61117-77CD-4F52-9362-2D973056D0A5}">
  <dimension ref="A1:AJ62"/>
  <sheetViews>
    <sheetView tabSelected="1" topLeftCell="A3" zoomScale="110" zoomScaleNormal="110" workbookViewId="0">
      <selection activeCell="O9" sqref="O9"/>
    </sheetView>
  </sheetViews>
  <sheetFormatPr defaultRowHeight="15.75" x14ac:dyDescent="0.25"/>
  <cols>
    <col min="1" max="1" width="41" style="5" customWidth="1"/>
    <col min="2" max="17" width="8.140625" style="25" customWidth="1"/>
    <col min="18" max="18" width="11.42578125" style="25" customWidth="1"/>
    <col min="20" max="20" width="15" customWidth="1"/>
    <col min="21" max="23" width="7" customWidth="1"/>
    <col min="24" max="34" width="7" style="5" customWidth="1"/>
    <col min="35" max="35" width="11.42578125" style="5" customWidth="1"/>
    <col min="36" max="16384" width="9.140625" style="5"/>
  </cols>
  <sheetData>
    <row r="1" spans="1:23" s="29" customFormat="1" ht="24.75" customHeight="1" x14ac:dyDescent="0.25">
      <c r="A1" s="26" t="s">
        <v>711</v>
      </c>
      <c r="B1" s="27">
        <v>4</v>
      </c>
      <c r="C1" s="27">
        <v>5</v>
      </c>
      <c r="D1" s="27">
        <v>6</v>
      </c>
      <c r="E1" s="27">
        <v>7</v>
      </c>
      <c r="F1" s="27">
        <v>8</v>
      </c>
      <c r="G1" s="27">
        <v>9</v>
      </c>
      <c r="H1" s="27">
        <v>10</v>
      </c>
      <c r="I1" s="27">
        <v>11</v>
      </c>
      <c r="J1" s="27">
        <v>12</v>
      </c>
      <c r="K1" s="27">
        <v>13</v>
      </c>
      <c r="L1" s="27">
        <v>14</v>
      </c>
      <c r="M1" s="27">
        <v>15</v>
      </c>
      <c r="N1" s="27">
        <v>16</v>
      </c>
      <c r="O1" s="27">
        <v>17</v>
      </c>
      <c r="P1" s="27">
        <v>19</v>
      </c>
      <c r="Q1" s="27">
        <v>20</v>
      </c>
      <c r="R1" s="27" t="s">
        <v>712</v>
      </c>
      <c r="S1" s="28"/>
      <c r="T1" s="28"/>
      <c r="U1" s="28"/>
      <c r="V1" s="28"/>
      <c r="W1" s="28"/>
    </row>
    <row r="2" spans="1:23" s="6" customFormat="1" ht="16.5" customHeight="1" x14ac:dyDescent="0.25">
      <c r="A2" s="6" t="s">
        <v>690</v>
      </c>
      <c r="B2" s="19">
        <f>SUM(B3,B9:B14)</f>
        <v>1</v>
      </c>
      <c r="C2" s="19">
        <f t="shared" ref="C2:Q2" si="0">SUM(C3,C9:C14)</f>
        <v>2</v>
      </c>
      <c r="D2" s="19">
        <f t="shared" si="0"/>
        <v>1</v>
      </c>
      <c r="E2" s="19">
        <f t="shared" si="0"/>
        <v>1</v>
      </c>
      <c r="F2" s="19">
        <f t="shared" si="0"/>
        <v>83</v>
      </c>
      <c r="G2" s="19">
        <f t="shared" si="0"/>
        <v>59</v>
      </c>
      <c r="H2" s="19">
        <f t="shared" si="0"/>
        <v>18</v>
      </c>
      <c r="I2" s="19">
        <f t="shared" si="0"/>
        <v>46</v>
      </c>
      <c r="J2" s="19">
        <f t="shared" si="0"/>
        <v>52</v>
      </c>
      <c r="K2" s="19">
        <f t="shared" si="0"/>
        <v>15</v>
      </c>
      <c r="L2" s="19">
        <f t="shared" si="0"/>
        <v>9</v>
      </c>
      <c r="M2" s="19">
        <f t="shared" si="0"/>
        <v>11</v>
      </c>
      <c r="N2" s="19">
        <f t="shared" si="0"/>
        <v>17</v>
      </c>
      <c r="O2" s="19">
        <f t="shared" si="0"/>
        <v>7</v>
      </c>
      <c r="P2" s="19">
        <f t="shared" si="0"/>
        <v>0</v>
      </c>
      <c r="Q2" s="19">
        <f t="shared" si="0"/>
        <v>0</v>
      </c>
      <c r="R2" s="19">
        <f>SUM(B2:Q2)</f>
        <v>322</v>
      </c>
      <c r="S2" s="7"/>
      <c r="T2" s="7"/>
      <c r="U2" s="7"/>
      <c r="V2" s="7"/>
      <c r="W2" s="7"/>
    </row>
    <row r="3" spans="1:23" s="8" customFormat="1" ht="16.5" customHeight="1" x14ac:dyDescent="0.25">
      <c r="A3" s="8" t="s">
        <v>691</v>
      </c>
      <c r="B3" s="20">
        <f>SUM(B4:B8)</f>
        <v>0</v>
      </c>
      <c r="C3" s="20">
        <f t="shared" ref="C3:Q3" si="1">SUM(C4:C8)</f>
        <v>0</v>
      </c>
      <c r="D3" s="20">
        <f t="shared" si="1"/>
        <v>0</v>
      </c>
      <c r="E3" s="20">
        <f t="shared" si="1"/>
        <v>0</v>
      </c>
      <c r="F3" s="20">
        <f t="shared" si="1"/>
        <v>50</v>
      </c>
      <c r="G3" s="20">
        <f t="shared" si="1"/>
        <v>48</v>
      </c>
      <c r="H3" s="20">
        <f t="shared" si="1"/>
        <v>11</v>
      </c>
      <c r="I3" s="20">
        <f t="shared" si="1"/>
        <v>38</v>
      </c>
      <c r="J3" s="20">
        <f t="shared" si="1"/>
        <v>45</v>
      </c>
      <c r="K3" s="20">
        <f t="shared" si="1"/>
        <v>10</v>
      </c>
      <c r="L3" s="20">
        <f t="shared" si="1"/>
        <v>7</v>
      </c>
      <c r="M3" s="20">
        <f t="shared" si="1"/>
        <v>11</v>
      </c>
      <c r="N3" s="20">
        <f t="shared" si="1"/>
        <v>15</v>
      </c>
      <c r="O3" s="20">
        <f t="shared" si="1"/>
        <v>7</v>
      </c>
      <c r="P3" s="20">
        <f t="shared" si="1"/>
        <v>0</v>
      </c>
      <c r="Q3" s="20">
        <f t="shared" si="1"/>
        <v>0</v>
      </c>
      <c r="R3" s="20">
        <f t="shared" ref="R3:R23" si="2">SUM(B3:Q3)</f>
        <v>242</v>
      </c>
      <c r="S3" s="9"/>
      <c r="T3" s="9"/>
      <c r="U3" s="9"/>
      <c r="V3" s="9"/>
      <c r="W3" s="9"/>
    </row>
    <row r="4" spans="1:23" s="13" customFormat="1" ht="16.5" customHeight="1" x14ac:dyDescent="0.25">
      <c r="A4" s="11" t="s">
        <v>692</v>
      </c>
      <c r="B4" s="21"/>
      <c r="C4" s="21"/>
      <c r="D4" s="21"/>
      <c r="E4" s="21"/>
      <c r="F4" s="21">
        <v>17</v>
      </c>
      <c r="G4" s="21">
        <v>28</v>
      </c>
      <c r="H4" s="21">
        <v>4</v>
      </c>
      <c r="I4" s="21">
        <v>18</v>
      </c>
      <c r="J4" s="21">
        <v>25</v>
      </c>
      <c r="K4" s="21">
        <v>6</v>
      </c>
      <c r="L4" s="21">
        <v>4</v>
      </c>
      <c r="M4" s="21">
        <v>8</v>
      </c>
      <c r="N4" s="21">
        <v>10</v>
      </c>
      <c r="O4" s="21">
        <v>4</v>
      </c>
      <c r="P4" s="21"/>
      <c r="Q4" s="21"/>
      <c r="R4" s="21">
        <f t="shared" si="2"/>
        <v>124</v>
      </c>
      <c r="S4" s="12"/>
      <c r="T4" s="12"/>
      <c r="U4" s="12"/>
      <c r="V4" s="12"/>
      <c r="W4" s="12"/>
    </row>
    <row r="5" spans="1:23" s="13" customFormat="1" ht="16.5" customHeight="1" x14ac:dyDescent="0.25">
      <c r="A5" s="11" t="s">
        <v>693</v>
      </c>
      <c r="B5" s="21"/>
      <c r="C5" s="21"/>
      <c r="D5" s="21"/>
      <c r="E5" s="21"/>
      <c r="F5" s="21">
        <v>1</v>
      </c>
      <c r="G5" s="21">
        <v>11</v>
      </c>
      <c r="H5" s="21">
        <v>2</v>
      </c>
      <c r="I5" s="21">
        <v>8</v>
      </c>
      <c r="J5" s="21">
        <v>10</v>
      </c>
      <c r="K5" s="21">
        <v>1</v>
      </c>
      <c r="L5" s="21">
        <v>2</v>
      </c>
      <c r="M5" s="21">
        <v>3</v>
      </c>
      <c r="N5" s="21">
        <v>2</v>
      </c>
      <c r="O5" s="21">
        <v>1</v>
      </c>
      <c r="P5" s="21"/>
      <c r="Q5" s="21"/>
      <c r="R5" s="21">
        <f t="shared" si="2"/>
        <v>41</v>
      </c>
      <c r="S5" s="12"/>
      <c r="T5" s="12"/>
      <c r="U5" s="12"/>
      <c r="V5" s="12"/>
      <c r="W5" s="12"/>
    </row>
    <row r="6" spans="1:23" s="17" customFormat="1" ht="16.5" customHeight="1" x14ac:dyDescent="0.25">
      <c r="A6" s="15" t="s">
        <v>694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>
        <v>1</v>
      </c>
      <c r="O6" s="22">
        <v>1</v>
      </c>
      <c r="P6" s="22"/>
      <c r="Q6" s="22"/>
      <c r="R6" s="22">
        <f t="shared" si="2"/>
        <v>2</v>
      </c>
      <c r="S6" s="16"/>
      <c r="T6" s="16"/>
      <c r="U6" s="16"/>
      <c r="V6" s="16"/>
      <c r="W6" s="16"/>
    </row>
    <row r="7" spans="1:23" s="13" customFormat="1" ht="16.5" customHeight="1" x14ac:dyDescent="0.25">
      <c r="A7" s="11" t="s">
        <v>695</v>
      </c>
      <c r="B7" s="21"/>
      <c r="C7" s="21"/>
      <c r="D7" s="21"/>
      <c r="E7" s="21"/>
      <c r="F7" s="21">
        <v>15</v>
      </c>
      <c r="G7" s="21">
        <v>6</v>
      </c>
      <c r="H7" s="21">
        <v>1</v>
      </c>
      <c r="I7" s="21">
        <v>5</v>
      </c>
      <c r="J7" s="21">
        <v>2</v>
      </c>
      <c r="K7" s="21">
        <v>3</v>
      </c>
      <c r="L7" s="21"/>
      <c r="M7" s="21"/>
      <c r="N7" s="21">
        <v>1</v>
      </c>
      <c r="O7" s="21">
        <v>1</v>
      </c>
      <c r="P7" s="21"/>
      <c r="Q7" s="21"/>
      <c r="R7" s="21">
        <f t="shared" si="2"/>
        <v>34</v>
      </c>
      <c r="S7" s="12"/>
      <c r="T7" s="12"/>
      <c r="U7" s="12"/>
      <c r="V7" s="12"/>
      <c r="W7" s="12"/>
    </row>
    <row r="8" spans="1:23" s="13" customFormat="1" ht="16.5" customHeight="1" x14ac:dyDescent="0.25">
      <c r="A8" s="11" t="s">
        <v>696</v>
      </c>
      <c r="B8" s="21"/>
      <c r="C8" s="21"/>
      <c r="D8" s="21"/>
      <c r="E8" s="21"/>
      <c r="F8" s="21">
        <v>17</v>
      </c>
      <c r="G8" s="21">
        <v>3</v>
      </c>
      <c r="H8" s="21">
        <v>4</v>
      </c>
      <c r="I8" s="21">
        <v>7</v>
      </c>
      <c r="J8" s="21">
        <v>8</v>
      </c>
      <c r="K8" s="21"/>
      <c r="L8" s="21">
        <v>1</v>
      </c>
      <c r="M8" s="21"/>
      <c r="N8" s="21">
        <v>1</v>
      </c>
      <c r="O8" s="21"/>
      <c r="P8" s="21"/>
      <c r="Q8" s="21"/>
      <c r="R8" s="21">
        <f t="shared" si="2"/>
        <v>41</v>
      </c>
      <c r="S8" s="12"/>
      <c r="T8" s="12"/>
      <c r="U8" s="12"/>
      <c r="V8" s="12"/>
      <c r="W8" s="12"/>
    </row>
    <row r="9" spans="1:23" s="8" customFormat="1" ht="16.5" customHeight="1" x14ac:dyDescent="0.25">
      <c r="A9" s="10" t="s">
        <v>697</v>
      </c>
      <c r="B9" s="23"/>
      <c r="C9" s="23"/>
      <c r="D9" s="23"/>
      <c r="E9" s="23"/>
      <c r="F9" s="23">
        <v>25</v>
      </c>
      <c r="G9" s="23">
        <v>6</v>
      </c>
      <c r="H9" s="23">
        <v>4</v>
      </c>
      <c r="I9" s="23">
        <v>5</v>
      </c>
      <c r="J9" s="23">
        <v>3</v>
      </c>
      <c r="K9" s="23">
        <v>4</v>
      </c>
      <c r="L9" s="23">
        <v>1</v>
      </c>
      <c r="M9" s="23"/>
      <c r="N9" s="23">
        <v>2</v>
      </c>
      <c r="O9" s="23"/>
      <c r="P9" s="23"/>
      <c r="Q9" s="23"/>
      <c r="R9" s="23">
        <f t="shared" si="2"/>
        <v>50</v>
      </c>
      <c r="S9" s="9"/>
      <c r="T9" s="9"/>
      <c r="U9" s="9"/>
      <c r="V9" s="9"/>
      <c r="W9" s="9"/>
    </row>
    <row r="10" spans="1:23" s="41" customFormat="1" ht="16.5" customHeight="1" x14ac:dyDescent="0.25">
      <c r="A10" s="38" t="s">
        <v>698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>
        <v>1</v>
      </c>
      <c r="M10" s="39"/>
      <c r="N10" s="39"/>
      <c r="O10" s="39"/>
      <c r="P10" s="39"/>
      <c r="Q10" s="39"/>
      <c r="R10" s="39">
        <f t="shared" si="2"/>
        <v>1</v>
      </c>
      <c r="S10" s="40"/>
      <c r="T10" s="40"/>
      <c r="U10" s="40"/>
      <c r="V10" s="40"/>
      <c r="W10" s="40"/>
    </row>
    <row r="11" spans="1:23" s="41" customFormat="1" ht="16.5" customHeight="1" x14ac:dyDescent="0.25">
      <c r="A11" s="38" t="s">
        <v>699</v>
      </c>
      <c r="B11" s="39"/>
      <c r="C11" s="39"/>
      <c r="D11" s="39"/>
      <c r="E11" s="39"/>
      <c r="F11" s="39">
        <v>1</v>
      </c>
      <c r="G11" s="39"/>
      <c r="H11" s="39"/>
      <c r="I11" s="39"/>
      <c r="J11" s="39">
        <v>1</v>
      </c>
      <c r="K11" s="39"/>
      <c r="L11" s="39"/>
      <c r="M11" s="39"/>
      <c r="N11" s="39"/>
      <c r="O11" s="39"/>
      <c r="P11" s="39"/>
      <c r="Q11" s="39"/>
      <c r="R11" s="39">
        <f t="shared" si="2"/>
        <v>2</v>
      </c>
      <c r="S11" s="40"/>
      <c r="T11" s="40"/>
      <c r="U11" s="40"/>
      <c r="V11" s="40"/>
      <c r="W11" s="40"/>
    </row>
    <row r="12" spans="1:23" s="8" customFormat="1" ht="16.5" customHeight="1" x14ac:dyDescent="0.25">
      <c r="A12" s="10" t="s">
        <v>700</v>
      </c>
      <c r="B12" s="23">
        <v>1</v>
      </c>
      <c r="C12" s="23">
        <v>2</v>
      </c>
      <c r="D12" s="23">
        <v>1</v>
      </c>
      <c r="E12" s="23">
        <v>1</v>
      </c>
      <c r="F12" s="23">
        <v>6</v>
      </c>
      <c r="G12" s="23">
        <v>3</v>
      </c>
      <c r="H12" s="23">
        <v>2</v>
      </c>
      <c r="I12" s="23">
        <v>2</v>
      </c>
      <c r="J12" s="23">
        <v>3</v>
      </c>
      <c r="K12" s="23"/>
      <c r="L12" s="23"/>
      <c r="M12" s="23"/>
      <c r="N12" s="23"/>
      <c r="O12" s="23"/>
      <c r="P12" s="23"/>
      <c r="Q12" s="23"/>
      <c r="R12" s="23">
        <f t="shared" si="2"/>
        <v>21</v>
      </c>
      <c r="S12" s="9"/>
      <c r="T12" s="9"/>
      <c r="U12" s="9"/>
      <c r="V12" s="9"/>
      <c r="W12" s="9"/>
    </row>
    <row r="13" spans="1:23" s="41" customFormat="1" ht="16.5" customHeight="1" x14ac:dyDescent="0.25">
      <c r="A13" s="38" t="s">
        <v>701</v>
      </c>
      <c r="B13" s="39"/>
      <c r="C13" s="39"/>
      <c r="D13" s="39"/>
      <c r="E13" s="39"/>
      <c r="F13" s="39"/>
      <c r="G13" s="39"/>
      <c r="H13" s="39">
        <v>1</v>
      </c>
      <c r="I13" s="39"/>
      <c r="J13" s="39"/>
      <c r="K13" s="39"/>
      <c r="L13" s="39"/>
      <c r="M13" s="39"/>
      <c r="N13" s="39"/>
      <c r="O13" s="39"/>
      <c r="P13" s="39"/>
      <c r="Q13" s="39"/>
      <c r="R13" s="39">
        <f t="shared" si="2"/>
        <v>1</v>
      </c>
      <c r="S13" s="40"/>
      <c r="T13" s="40"/>
      <c r="U13" s="40"/>
      <c r="V13" s="40"/>
      <c r="W13" s="40"/>
    </row>
    <row r="14" spans="1:23" s="8" customFormat="1" ht="16.5" customHeight="1" x14ac:dyDescent="0.25">
      <c r="A14" s="10" t="s">
        <v>702</v>
      </c>
      <c r="B14" s="23"/>
      <c r="C14" s="23"/>
      <c r="D14" s="23"/>
      <c r="E14" s="23"/>
      <c r="F14" s="23">
        <v>1</v>
      </c>
      <c r="G14" s="23">
        <v>2</v>
      </c>
      <c r="H14" s="23"/>
      <c r="I14" s="23">
        <v>1</v>
      </c>
      <c r="J14" s="23"/>
      <c r="K14" s="23">
        <v>1</v>
      </c>
      <c r="L14" s="23"/>
      <c r="M14" s="23"/>
      <c r="N14" s="23"/>
      <c r="O14" s="23"/>
      <c r="P14" s="23"/>
      <c r="Q14" s="23"/>
      <c r="R14" s="23">
        <f t="shared" si="2"/>
        <v>5</v>
      </c>
      <c r="S14" s="9"/>
      <c r="T14" s="9"/>
      <c r="U14" s="9"/>
      <c r="V14" s="9"/>
      <c r="W14" s="9"/>
    </row>
    <row r="15" spans="1:23" s="6" customFormat="1" ht="16.5" customHeight="1" x14ac:dyDescent="0.25">
      <c r="A15" s="14" t="s">
        <v>703</v>
      </c>
      <c r="B15" s="24">
        <v>1</v>
      </c>
      <c r="C15" s="24">
        <v>2</v>
      </c>
      <c r="D15" s="24">
        <v>1</v>
      </c>
      <c r="E15" s="24">
        <v>1</v>
      </c>
      <c r="F15" s="24">
        <v>22</v>
      </c>
      <c r="G15" s="24">
        <v>8</v>
      </c>
      <c r="H15" s="24">
        <v>3</v>
      </c>
      <c r="I15" s="24">
        <v>4</v>
      </c>
      <c r="J15" s="24">
        <v>10</v>
      </c>
      <c r="K15" s="24">
        <v>3</v>
      </c>
      <c r="L15" s="24"/>
      <c r="M15" s="24"/>
      <c r="N15" s="24">
        <v>1</v>
      </c>
      <c r="O15" s="24"/>
      <c r="P15" s="24"/>
      <c r="Q15" s="24"/>
      <c r="R15" s="24">
        <f t="shared" si="2"/>
        <v>56</v>
      </c>
      <c r="S15" s="7"/>
      <c r="T15" s="7"/>
      <c r="U15" s="7"/>
      <c r="V15" s="7"/>
      <c r="W15" s="7"/>
    </row>
    <row r="16" spans="1:23" s="6" customFormat="1" ht="16.5" customHeight="1" x14ac:dyDescent="0.25">
      <c r="A16" s="6" t="s">
        <v>689</v>
      </c>
      <c r="B16" s="19">
        <f>SUM(B17:B22)</f>
        <v>0</v>
      </c>
      <c r="C16" s="19">
        <f t="shared" ref="C16:Q16" si="3">SUM(C17:C22)</f>
        <v>2</v>
      </c>
      <c r="D16" s="19">
        <f t="shared" si="3"/>
        <v>2</v>
      </c>
      <c r="E16" s="19">
        <f t="shared" si="3"/>
        <v>4</v>
      </c>
      <c r="F16" s="19">
        <f t="shared" si="3"/>
        <v>42</v>
      </c>
      <c r="G16" s="19">
        <f t="shared" si="3"/>
        <v>15</v>
      </c>
      <c r="H16" s="19">
        <f t="shared" si="3"/>
        <v>5</v>
      </c>
      <c r="I16" s="19">
        <f t="shared" si="3"/>
        <v>8</v>
      </c>
      <c r="J16" s="19">
        <f t="shared" si="3"/>
        <v>11</v>
      </c>
      <c r="K16" s="19">
        <f t="shared" si="3"/>
        <v>5</v>
      </c>
      <c r="L16" s="19">
        <f t="shared" si="3"/>
        <v>2</v>
      </c>
      <c r="M16" s="19">
        <f t="shared" si="3"/>
        <v>0</v>
      </c>
      <c r="N16" s="19">
        <f t="shared" si="3"/>
        <v>3</v>
      </c>
      <c r="O16" s="19">
        <f t="shared" si="3"/>
        <v>1</v>
      </c>
      <c r="P16" s="19">
        <f t="shared" si="3"/>
        <v>0</v>
      </c>
      <c r="Q16" s="19">
        <f t="shared" si="3"/>
        <v>0</v>
      </c>
      <c r="R16" s="19">
        <f t="shared" si="2"/>
        <v>100</v>
      </c>
      <c r="S16" s="7"/>
      <c r="T16" s="7"/>
      <c r="U16" s="7"/>
      <c r="V16" s="7"/>
      <c r="W16" s="7"/>
    </row>
    <row r="17" spans="1:23" s="8" customFormat="1" ht="16.5" customHeight="1" x14ac:dyDescent="0.25">
      <c r="A17" s="10" t="s">
        <v>704</v>
      </c>
      <c r="B17" s="23"/>
      <c r="C17" s="23"/>
      <c r="D17" s="23"/>
      <c r="E17" s="23"/>
      <c r="F17" s="23">
        <v>17</v>
      </c>
      <c r="G17" s="23">
        <v>5</v>
      </c>
      <c r="H17" s="23">
        <v>2</v>
      </c>
      <c r="I17" s="23">
        <v>4</v>
      </c>
      <c r="J17" s="23">
        <v>4</v>
      </c>
      <c r="K17" s="23">
        <v>2</v>
      </c>
      <c r="L17" s="23"/>
      <c r="M17" s="23"/>
      <c r="N17" s="23">
        <v>1</v>
      </c>
      <c r="O17" s="23">
        <v>1</v>
      </c>
      <c r="P17" s="23"/>
      <c r="Q17" s="23"/>
      <c r="R17" s="23">
        <f t="shared" si="2"/>
        <v>36</v>
      </c>
      <c r="S17" s="9"/>
      <c r="T17" s="9"/>
      <c r="U17" s="9"/>
      <c r="V17" s="9"/>
      <c r="W17" s="9"/>
    </row>
    <row r="18" spans="1:23" s="8" customFormat="1" ht="16.5" customHeight="1" x14ac:dyDescent="0.25">
      <c r="A18" s="10" t="s">
        <v>705</v>
      </c>
      <c r="B18" s="23"/>
      <c r="C18" s="23"/>
      <c r="D18" s="23"/>
      <c r="E18" s="23"/>
      <c r="F18" s="23"/>
      <c r="G18" s="23">
        <v>1</v>
      </c>
      <c r="H18" s="23"/>
      <c r="I18" s="23"/>
      <c r="J18" s="23"/>
      <c r="K18" s="23"/>
      <c r="L18" s="23"/>
      <c r="M18" s="23"/>
      <c r="N18" s="23">
        <v>1</v>
      </c>
      <c r="O18" s="23"/>
      <c r="P18" s="23"/>
      <c r="Q18" s="23"/>
      <c r="R18" s="23">
        <f t="shared" si="2"/>
        <v>2</v>
      </c>
      <c r="S18" s="9"/>
      <c r="T18" s="9"/>
      <c r="U18" s="9"/>
      <c r="V18" s="9"/>
      <c r="W18" s="9"/>
    </row>
    <row r="19" spans="1:23" s="8" customFormat="1" ht="16.5" customHeight="1" x14ac:dyDescent="0.25">
      <c r="A19" s="10" t="s">
        <v>706</v>
      </c>
      <c r="B19" s="23"/>
      <c r="C19" s="23"/>
      <c r="D19" s="23"/>
      <c r="E19" s="23"/>
      <c r="F19" s="23">
        <v>14</v>
      </c>
      <c r="G19" s="23">
        <v>4</v>
      </c>
      <c r="H19" s="23">
        <v>2</v>
      </c>
      <c r="I19" s="23">
        <v>2</v>
      </c>
      <c r="J19" s="23"/>
      <c r="K19" s="23">
        <v>3</v>
      </c>
      <c r="L19" s="23"/>
      <c r="M19" s="23"/>
      <c r="N19" s="23">
        <v>1</v>
      </c>
      <c r="O19" s="23"/>
      <c r="P19" s="23"/>
      <c r="Q19" s="23"/>
      <c r="R19" s="23">
        <f t="shared" si="2"/>
        <v>26</v>
      </c>
      <c r="S19" s="9"/>
      <c r="T19" s="9"/>
      <c r="U19" s="9"/>
      <c r="V19" s="9"/>
      <c r="W19" s="9"/>
    </row>
    <row r="20" spans="1:23" s="8" customFormat="1" ht="16.5" customHeight="1" x14ac:dyDescent="0.25">
      <c r="A20" s="10" t="s">
        <v>707</v>
      </c>
      <c r="B20" s="23"/>
      <c r="C20" s="23">
        <v>2</v>
      </c>
      <c r="D20" s="23">
        <v>2</v>
      </c>
      <c r="E20" s="23">
        <v>4</v>
      </c>
      <c r="F20" s="23">
        <v>9</v>
      </c>
      <c r="G20" s="23">
        <v>5</v>
      </c>
      <c r="H20" s="23">
        <v>1</v>
      </c>
      <c r="I20" s="23">
        <v>2</v>
      </c>
      <c r="J20" s="23">
        <v>5</v>
      </c>
      <c r="K20" s="23"/>
      <c r="L20" s="23">
        <v>2</v>
      </c>
      <c r="M20" s="23"/>
      <c r="N20" s="23"/>
      <c r="O20" s="23"/>
      <c r="P20" s="23"/>
      <c r="Q20" s="23"/>
      <c r="R20" s="23">
        <f t="shared" si="2"/>
        <v>32</v>
      </c>
      <c r="S20" s="9"/>
      <c r="T20" s="9"/>
      <c r="U20" s="9"/>
      <c r="V20" s="9"/>
      <c r="W20" s="9"/>
    </row>
    <row r="21" spans="1:23" s="41" customFormat="1" ht="16.5" customHeight="1" x14ac:dyDescent="0.25">
      <c r="A21" s="38" t="s">
        <v>708</v>
      </c>
      <c r="B21" s="39"/>
      <c r="C21" s="39"/>
      <c r="D21" s="39"/>
      <c r="E21" s="39"/>
      <c r="F21" s="39">
        <v>2</v>
      </c>
      <c r="G21" s="39"/>
      <c r="H21" s="39"/>
      <c r="I21" s="39"/>
      <c r="J21" s="39">
        <v>1</v>
      </c>
      <c r="K21" s="39"/>
      <c r="L21" s="39"/>
      <c r="M21" s="39"/>
      <c r="N21" s="39"/>
      <c r="O21" s="39"/>
      <c r="P21" s="39"/>
      <c r="Q21" s="39"/>
      <c r="R21" s="39">
        <f t="shared" si="2"/>
        <v>3</v>
      </c>
      <c r="S21" s="40"/>
      <c r="T21" s="40"/>
      <c r="U21" s="40"/>
      <c r="V21" s="40"/>
      <c r="W21" s="40"/>
    </row>
    <row r="22" spans="1:23" s="8" customFormat="1" ht="16.5" customHeight="1" x14ac:dyDescent="0.25">
      <c r="A22" s="10" t="s">
        <v>709</v>
      </c>
      <c r="B22" s="23"/>
      <c r="C22" s="23"/>
      <c r="D22" s="23"/>
      <c r="E22" s="23"/>
      <c r="F22" s="23"/>
      <c r="G22" s="23"/>
      <c r="H22" s="23"/>
      <c r="I22" s="23"/>
      <c r="J22" s="23">
        <v>1</v>
      </c>
      <c r="K22" s="23"/>
      <c r="L22" s="23"/>
      <c r="M22" s="23"/>
      <c r="N22" s="23"/>
      <c r="O22" s="23"/>
      <c r="P22" s="23"/>
      <c r="Q22" s="23"/>
      <c r="R22" s="23">
        <f t="shared" si="2"/>
        <v>1</v>
      </c>
      <c r="S22" s="9"/>
      <c r="T22" s="9"/>
      <c r="U22" s="9"/>
      <c r="V22" s="9"/>
      <c r="W22" s="9"/>
    </row>
    <row r="23" spans="1:23" s="37" customFormat="1" ht="16.5" customHeight="1" x14ac:dyDescent="0.25">
      <c r="A23" s="34" t="s">
        <v>710</v>
      </c>
      <c r="B23" s="35"/>
      <c r="C23" s="35">
        <v>2</v>
      </c>
      <c r="D23" s="35">
        <v>3</v>
      </c>
      <c r="E23" s="35">
        <v>21</v>
      </c>
      <c r="F23" s="35">
        <v>33</v>
      </c>
      <c r="G23" s="35">
        <v>1</v>
      </c>
      <c r="H23" s="35">
        <v>1</v>
      </c>
      <c r="I23" s="35">
        <v>4</v>
      </c>
      <c r="J23" s="35">
        <v>4</v>
      </c>
      <c r="K23" s="35">
        <v>12</v>
      </c>
      <c r="L23" s="35">
        <v>9</v>
      </c>
      <c r="M23" s="35">
        <v>2</v>
      </c>
      <c r="N23" s="35">
        <v>2</v>
      </c>
      <c r="O23" s="35">
        <v>3</v>
      </c>
      <c r="P23" s="35">
        <v>2</v>
      </c>
      <c r="Q23" s="35">
        <v>1</v>
      </c>
      <c r="R23" s="35">
        <f t="shared" si="2"/>
        <v>100</v>
      </c>
      <c r="S23" s="36"/>
      <c r="T23" s="36"/>
      <c r="U23" s="36"/>
      <c r="V23" s="36"/>
      <c r="W23" s="36"/>
    </row>
    <row r="24" spans="1:23" s="33" customFormat="1" ht="24.75" customHeight="1" x14ac:dyDescent="0.25">
      <c r="A24" s="30" t="s">
        <v>712</v>
      </c>
      <c r="B24" s="31">
        <f>SUM(B23,B15:B16,B2)</f>
        <v>2</v>
      </c>
      <c r="C24" s="31">
        <f t="shared" ref="C24:R24" si="4">SUM(C23,C15:C16,C2)</f>
        <v>8</v>
      </c>
      <c r="D24" s="31">
        <f t="shared" si="4"/>
        <v>7</v>
      </c>
      <c r="E24" s="31">
        <f t="shared" si="4"/>
        <v>27</v>
      </c>
      <c r="F24" s="31">
        <f t="shared" si="4"/>
        <v>180</v>
      </c>
      <c r="G24" s="31">
        <f t="shared" si="4"/>
        <v>83</v>
      </c>
      <c r="H24" s="31">
        <f t="shared" si="4"/>
        <v>27</v>
      </c>
      <c r="I24" s="31">
        <f t="shared" si="4"/>
        <v>62</v>
      </c>
      <c r="J24" s="31">
        <f t="shared" si="4"/>
        <v>77</v>
      </c>
      <c r="K24" s="31">
        <f t="shared" si="4"/>
        <v>35</v>
      </c>
      <c r="L24" s="31">
        <f t="shared" si="4"/>
        <v>20</v>
      </c>
      <c r="M24" s="31">
        <f t="shared" si="4"/>
        <v>13</v>
      </c>
      <c r="N24" s="31">
        <f t="shared" si="4"/>
        <v>23</v>
      </c>
      <c r="O24" s="31">
        <f t="shared" si="4"/>
        <v>11</v>
      </c>
      <c r="P24" s="31">
        <f t="shared" si="4"/>
        <v>2</v>
      </c>
      <c r="Q24" s="31">
        <f t="shared" si="4"/>
        <v>1</v>
      </c>
      <c r="R24" s="31">
        <f t="shared" si="4"/>
        <v>578</v>
      </c>
      <c r="S24" s="32"/>
      <c r="T24" s="32"/>
      <c r="U24" s="32"/>
      <c r="V24" s="32"/>
      <c r="W24" s="32"/>
    </row>
    <row r="27" spans="1:23" x14ac:dyDescent="0.25">
      <c r="A27" s="26" t="s">
        <v>711</v>
      </c>
      <c r="B27" s="27">
        <v>4</v>
      </c>
      <c r="C27" s="27">
        <v>5</v>
      </c>
      <c r="D27" s="27">
        <v>6</v>
      </c>
      <c r="E27" s="27">
        <v>7</v>
      </c>
      <c r="F27" s="27">
        <v>8</v>
      </c>
      <c r="G27" s="27">
        <v>9</v>
      </c>
      <c r="H27" s="27">
        <v>10</v>
      </c>
      <c r="I27" s="27">
        <v>11</v>
      </c>
      <c r="J27" s="27">
        <v>12</v>
      </c>
      <c r="K27" s="27">
        <v>13</v>
      </c>
      <c r="L27" s="27">
        <v>14</v>
      </c>
      <c r="M27" s="27">
        <v>15</v>
      </c>
      <c r="N27" s="27">
        <v>16</v>
      </c>
      <c r="O27" s="27">
        <v>17</v>
      </c>
      <c r="P27" s="27">
        <v>19</v>
      </c>
      <c r="Q27" s="27">
        <v>20</v>
      </c>
      <c r="R27" s="27" t="s">
        <v>712</v>
      </c>
    </row>
    <row r="28" spans="1:23" x14ac:dyDescent="0.25">
      <c r="A28" s="6" t="s">
        <v>690</v>
      </c>
      <c r="B28" s="19">
        <f>SUM(B29,B35:B37)</f>
        <v>1</v>
      </c>
      <c r="C28" s="19">
        <f>SUM(C29,C35:C37)</f>
        <v>2</v>
      </c>
      <c r="D28" s="19">
        <f>SUM(D29,D35:D37)</f>
        <v>1</v>
      </c>
      <c r="E28" s="19">
        <f>SUM(E29,E35:E37)</f>
        <v>1</v>
      </c>
      <c r="F28" s="19">
        <f>SUM(F29,F35:F37)</f>
        <v>82</v>
      </c>
      <c r="G28" s="19">
        <f>SUM(G29,G35:G37)</f>
        <v>59</v>
      </c>
      <c r="H28" s="19">
        <f>SUM(H29,H35:H37)</f>
        <v>17</v>
      </c>
      <c r="I28" s="19">
        <f>SUM(I29,I35:I37)</f>
        <v>46</v>
      </c>
      <c r="J28" s="19">
        <f>SUM(J29,J35:J37)</f>
        <v>51</v>
      </c>
      <c r="K28" s="19">
        <f>SUM(K29,K35:K37)</f>
        <v>15</v>
      </c>
      <c r="L28" s="19">
        <f>SUM(L29,L35:L37)</f>
        <v>8</v>
      </c>
      <c r="M28" s="19">
        <f>SUM(M29,M35:M37)</f>
        <v>11</v>
      </c>
      <c r="N28" s="19">
        <f>SUM(N29,N35:N37)</f>
        <v>17</v>
      </c>
      <c r="O28" s="19">
        <f>SUM(O29,O35:O37)</f>
        <v>7</v>
      </c>
      <c r="P28" s="19">
        <f>SUM(P29,P35:P37)</f>
        <v>0</v>
      </c>
      <c r="Q28" s="19">
        <f>SUM(Q29,Q35:Q37)</f>
        <v>0</v>
      </c>
      <c r="R28" s="19">
        <f>SUM(B28:Q28)</f>
        <v>318</v>
      </c>
    </row>
    <row r="29" spans="1:23" x14ac:dyDescent="0.25">
      <c r="A29" s="8" t="s">
        <v>691</v>
      </c>
      <c r="B29" s="20">
        <f>SUM(B30:B34)</f>
        <v>0</v>
      </c>
      <c r="C29" s="20">
        <f t="shared" ref="C29" si="5">SUM(C30:C34)</f>
        <v>0</v>
      </c>
      <c r="D29" s="20">
        <f t="shared" ref="D29" si="6">SUM(D30:D34)</f>
        <v>0</v>
      </c>
      <c r="E29" s="20">
        <f t="shared" ref="E29" si="7">SUM(E30:E34)</f>
        <v>0</v>
      </c>
      <c r="F29" s="20">
        <f t="shared" ref="F29" si="8">SUM(F30:F34)</f>
        <v>50</v>
      </c>
      <c r="G29" s="20">
        <f t="shared" ref="G29" si="9">SUM(G30:G34)</f>
        <v>48</v>
      </c>
      <c r="H29" s="20">
        <f t="shared" ref="H29" si="10">SUM(H30:H34)</f>
        <v>11</v>
      </c>
      <c r="I29" s="20">
        <f t="shared" ref="I29" si="11">SUM(I30:I34)</f>
        <v>38</v>
      </c>
      <c r="J29" s="20">
        <f t="shared" ref="J29" si="12">SUM(J30:J34)</f>
        <v>45</v>
      </c>
      <c r="K29" s="20">
        <f t="shared" ref="K29" si="13">SUM(K30:K34)</f>
        <v>10</v>
      </c>
      <c r="L29" s="20">
        <f t="shared" ref="L29" si="14">SUM(L30:L34)</f>
        <v>7</v>
      </c>
      <c r="M29" s="20">
        <f t="shared" ref="M29" si="15">SUM(M30:M34)</f>
        <v>11</v>
      </c>
      <c r="N29" s="20">
        <f t="shared" ref="N29" si="16">SUM(N30:N34)</f>
        <v>15</v>
      </c>
      <c r="O29" s="20">
        <f t="shared" ref="O29" si="17">SUM(O30:O34)</f>
        <v>7</v>
      </c>
      <c r="P29" s="20">
        <f t="shared" ref="P29" si="18">SUM(P30:P34)</f>
        <v>0</v>
      </c>
      <c r="Q29" s="20">
        <f t="shared" ref="Q29" si="19">SUM(Q30:Q34)</f>
        <v>0</v>
      </c>
      <c r="R29" s="20">
        <f t="shared" ref="R29:R44" si="20">SUM(B29:Q29)</f>
        <v>242</v>
      </c>
    </row>
    <row r="30" spans="1:23" x14ac:dyDescent="0.25">
      <c r="A30" s="11" t="s">
        <v>692</v>
      </c>
      <c r="B30" s="21"/>
      <c r="C30" s="21"/>
      <c r="D30" s="21"/>
      <c r="E30" s="21"/>
      <c r="F30" s="21">
        <v>17</v>
      </c>
      <c r="G30" s="21">
        <v>28</v>
      </c>
      <c r="H30" s="21">
        <v>4</v>
      </c>
      <c r="I30" s="21">
        <v>18</v>
      </c>
      <c r="J30" s="21">
        <v>25</v>
      </c>
      <c r="K30" s="21">
        <v>6</v>
      </c>
      <c r="L30" s="21">
        <v>4</v>
      </c>
      <c r="M30" s="21">
        <v>8</v>
      </c>
      <c r="N30" s="21">
        <v>10</v>
      </c>
      <c r="O30" s="21">
        <v>4</v>
      </c>
      <c r="P30" s="21"/>
      <c r="Q30" s="21"/>
      <c r="R30" s="21">
        <f t="shared" si="20"/>
        <v>124</v>
      </c>
    </row>
    <row r="31" spans="1:23" x14ac:dyDescent="0.25">
      <c r="A31" s="11" t="s">
        <v>693</v>
      </c>
      <c r="B31" s="21"/>
      <c r="C31" s="21"/>
      <c r="D31" s="21"/>
      <c r="E31" s="21"/>
      <c r="F31" s="21">
        <v>1</v>
      </c>
      <c r="G31" s="21">
        <v>11</v>
      </c>
      <c r="H31" s="21">
        <v>2</v>
      </c>
      <c r="I31" s="21">
        <v>8</v>
      </c>
      <c r="J31" s="21">
        <v>10</v>
      </c>
      <c r="K31" s="21">
        <v>1</v>
      </c>
      <c r="L31" s="21">
        <v>2</v>
      </c>
      <c r="M31" s="21">
        <v>3</v>
      </c>
      <c r="N31" s="21">
        <v>2</v>
      </c>
      <c r="O31" s="21">
        <v>1</v>
      </c>
      <c r="P31" s="21"/>
      <c r="Q31" s="21"/>
      <c r="R31" s="21">
        <f t="shared" si="20"/>
        <v>41</v>
      </c>
    </row>
    <row r="32" spans="1:23" x14ac:dyDescent="0.25">
      <c r="A32" s="15" t="s">
        <v>694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>
        <v>1</v>
      </c>
      <c r="O32" s="22">
        <v>1</v>
      </c>
      <c r="P32" s="22"/>
      <c r="Q32" s="22"/>
      <c r="R32" s="22">
        <f t="shared" si="20"/>
        <v>2</v>
      </c>
    </row>
    <row r="33" spans="1:36" x14ac:dyDescent="0.25">
      <c r="A33" s="11" t="s">
        <v>695</v>
      </c>
      <c r="B33" s="21"/>
      <c r="C33" s="21"/>
      <c r="D33" s="21"/>
      <c r="E33" s="21"/>
      <c r="F33" s="21">
        <v>15</v>
      </c>
      <c r="G33" s="21">
        <v>6</v>
      </c>
      <c r="H33" s="21">
        <v>1</v>
      </c>
      <c r="I33" s="21">
        <v>5</v>
      </c>
      <c r="J33" s="21">
        <v>2</v>
      </c>
      <c r="K33" s="21">
        <v>3</v>
      </c>
      <c r="L33" s="21"/>
      <c r="M33" s="21"/>
      <c r="N33" s="21">
        <v>1</v>
      </c>
      <c r="O33" s="21">
        <v>1</v>
      </c>
      <c r="P33" s="21"/>
      <c r="Q33" s="21"/>
      <c r="R33" s="21">
        <f t="shared" si="20"/>
        <v>34</v>
      </c>
    </row>
    <row r="34" spans="1:36" x14ac:dyDescent="0.25">
      <c r="A34" s="11" t="s">
        <v>696</v>
      </c>
      <c r="B34" s="21"/>
      <c r="C34" s="21"/>
      <c r="D34" s="21"/>
      <c r="E34" s="21"/>
      <c r="F34" s="21">
        <v>17</v>
      </c>
      <c r="G34" s="21">
        <v>3</v>
      </c>
      <c r="H34" s="21">
        <v>4</v>
      </c>
      <c r="I34" s="21">
        <v>7</v>
      </c>
      <c r="J34" s="21">
        <v>8</v>
      </c>
      <c r="K34" s="21"/>
      <c r="L34" s="21">
        <v>1</v>
      </c>
      <c r="M34" s="21"/>
      <c r="N34" s="21">
        <v>1</v>
      </c>
      <c r="O34" s="21"/>
      <c r="P34" s="21"/>
      <c r="Q34" s="21"/>
      <c r="R34" s="21">
        <f t="shared" si="20"/>
        <v>41</v>
      </c>
    </row>
    <row r="35" spans="1:36" x14ac:dyDescent="0.25">
      <c r="A35" s="10" t="s">
        <v>697</v>
      </c>
      <c r="B35" s="23"/>
      <c r="C35" s="23"/>
      <c r="D35" s="23"/>
      <c r="E35" s="23"/>
      <c r="F35" s="23">
        <v>25</v>
      </c>
      <c r="G35" s="23">
        <v>6</v>
      </c>
      <c r="H35" s="23">
        <v>4</v>
      </c>
      <c r="I35" s="23">
        <v>5</v>
      </c>
      <c r="J35" s="23">
        <v>3</v>
      </c>
      <c r="K35" s="23">
        <v>4</v>
      </c>
      <c r="L35" s="23">
        <v>1</v>
      </c>
      <c r="M35" s="23"/>
      <c r="N35" s="23">
        <v>2</v>
      </c>
      <c r="O35" s="23"/>
      <c r="P35" s="23"/>
      <c r="Q35" s="23"/>
      <c r="R35" s="23">
        <f t="shared" si="20"/>
        <v>50</v>
      </c>
    </row>
    <row r="36" spans="1:36" x14ac:dyDescent="0.25">
      <c r="A36" s="10" t="s">
        <v>700</v>
      </c>
      <c r="B36" s="23">
        <v>1</v>
      </c>
      <c r="C36" s="23">
        <v>2</v>
      </c>
      <c r="D36" s="23">
        <v>1</v>
      </c>
      <c r="E36" s="23">
        <v>1</v>
      </c>
      <c r="F36" s="23">
        <v>6</v>
      </c>
      <c r="G36" s="23">
        <v>3</v>
      </c>
      <c r="H36" s="23">
        <v>2</v>
      </c>
      <c r="I36" s="23">
        <v>2</v>
      </c>
      <c r="J36" s="23">
        <v>3</v>
      </c>
      <c r="K36" s="23"/>
      <c r="L36" s="23"/>
      <c r="M36" s="23"/>
      <c r="N36" s="23"/>
      <c r="O36" s="23"/>
      <c r="P36" s="23"/>
      <c r="Q36" s="23"/>
      <c r="R36" s="23">
        <f t="shared" si="20"/>
        <v>21</v>
      </c>
    </row>
    <row r="37" spans="1:36" x14ac:dyDescent="0.25">
      <c r="A37" s="10" t="s">
        <v>702</v>
      </c>
      <c r="B37" s="23"/>
      <c r="C37" s="23"/>
      <c r="D37" s="23"/>
      <c r="E37" s="23"/>
      <c r="F37" s="23">
        <v>1</v>
      </c>
      <c r="G37" s="23">
        <v>2</v>
      </c>
      <c r="H37" s="23"/>
      <c r="I37" s="23">
        <v>1</v>
      </c>
      <c r="J37" s="23"/>
      <c r="K37" s="23">
        <v>1</v>
      </c>
      <c r="L37" s="23"/>
      <c r="M37" s="23"/>
      <c r="N37" s="23"/>
      <c r="O37" s="23"/>
      <c r="P37" s="23"/>
      <c r="Q37" s="23"/>
      <c r="R37" s="23">
        <f t="shared" si="20"/>
        <v>5</v>
      </c>
    </row>
    <row r="38" spans="1:36" x14ac:dyDescent="0.25">
      <c r="A38" s="14" t="s">
        <v>703</v>
      </c>
      <c r="B38" s="24">
        <v>1</v>
      </c>
      <c r="C38" s="24">
        <v>2</v>
      </c>
      <c r="D38" s="24">
        <v>1</v>
      </c>
      <c r="E38" s="24">
        <v>1</v>
      </c>
      <c r="F38" s="24">
        <v>22</v>
      </c>
      <c r="G38" s="24">
        <v>8</v>
      </c>
      <c r="H38" s="24">
        <v>3</v>
      </c>
      <c r="I38" s="24">
        <v>4</v>
      </c>
      <c r="J38" s="24">
        <v>10</v>
      </c>
      <c r="K38" s="24">
        <v>3</v>
      </c>
      <c r="L38" s="24"/>
      <c r="M38" s="24"/>
      <c r="N38" s="24">
        <v>1</v>
      </c>
      <c r="O38" s="24"/>
      <c r="P38" s="24"/>
      <c r="Q38" s="24"/>
      <c r="R38" s="24">
        <f t="shared" si="20"/>
        <v>56</v>
      </c>
    </row>
    <row r="39" spans="1:36" x14ac:dyDescent="0.25">
      <c r="A39" s="6" t="s">
        <v>689</v>
      </c>
      <c r="B39" s="19">
        <f>SUM(B40:B44)</f>
        <v>0</v>
      </c>
      <c r="C39" s="19">
        <f>SUM(C40:C44)</f>
        <v>2</v>
      </c>
      <c r="D39" s="19">
        <f>SUM(D40:D44)</f>
        <v>2</v>
      </c>
      <c r="E39" s="19">
        <f>SUM(E40:E44)</f>
        <v>4</v>
      </c>
      <c r="F39" s="19">
        <f>SUM(F40:F44)</f>
        <v>40</v>
      </c>
      <c r="G39" s="19">
        <f>SUM(G40:G44)</f>
        <v>15</v>
      </c>
      <c r="H39" s="19">
        <f>SUM(H40:H44)</f>
        <v>5</v>
      </c>
      <c r="I39" s="19">
        <f>SUM(I40:I44)</f>
        <v>8</v>
      </c>
      <c r="J39" s="19">
        <f>SUM(J40:J44)</f>
        <v>10</v>
      </c>
      <c r="K39" s="19">
        <f>SUM(K40:K44)</f>
        <v>5</v>
      </c>
      <c r="L39" s="19">
        <f>SUM(L40:L44)</f>
        <v>2</v>
      </c>
      <c r="M39" s="19">
        <f>SUM(M40:M44)</f>
        <v>0</v>
      </c>
      <c r="N39" s="19">
        <f>SUM(N40:N44)</f>
        <v>3</v>
      </c>
      <c r="O39" s="19">
        <f>SUM(O40:O44)</f>
        <v>1</v>
      </c>
      <c r="P39" s="19">
        <f>SUM(P40:P44)</f>
        <v>0</v>
      </c>
      <c r="Q39" s="19">
        <f>SUM(Q40:Q44)</f>
        <v>0</v>
      </c>
      <c r="R39" s="19">
        <f t="shared" si="20"/>
        <v>97</v>
      </c>
    </row>
    <row r="40" spans="1:36" x14ac:dyDescent="0.25">
      <c r="A40" s="10" t="s">
        <v>704</v>
      </c>
      <c r="B40" s="23"/>
      <c r="C40" s="23"/>
      <c r="D40" s="23"/>
      <c r="E40" s="23"/>
      <c r="F40" s="23">
        <v>17</v>
      </c>
      <c r="G40" s="23">
        <v>5</v>
      </c>
      <c r="H40" s="23">
        <v>2</v>
      </c>
      <c r="I40" s="23">
        <v>4</v>
      </c>
      <c r="J40" s="23">
        <v>4</v>
      </c>
      <c r="K40" s="23">
        <v>2</v>
      </c>
      <c r="L40" s="23"/>
      <c r="M40" s="23"/>
      <c r="N40" s="23">
        <v>1</v>
      </c>
      <c r="O40" s="23">
        <v>1</v>
      </c>
      <c r="P40" s="23"/>
      <c r="Q40" s="23"/>
      <c r="R40" s="23">
        <f t="shared" si="20"/>
        <v>36</v>
      </c>
    </row>
    <row r="41" spans="1:36" x14ac:dyDescent="0.25">
      <c r="A41" s="10" t="s">
        <v>705</v>
      </c>
      <c r="B41" s="23"/>
      <c r="C41" s="23"/>
      <c r="D41" s="23"/>
      <c r="E41" s="23"/>
      <c r="F41" s="23"/>
      <c r="G41" s="23">
        <v>1</v>
      </c>
      <c r="H41" s="23"/>
      <c r="I41" s="23"/>
      <c r="J41" s="23"/>
      <c r="K41" s="23"/>
      <c r="L41" s="23"/>
      <c r="M41" s="23"/>
      <c r="N41" s="23">
        <v>1</v>
      </c>
      <c r="O41" s="23"/>
      <c r="P41" s="23"/>
      <c r="Q41" s="23"/>
      <c r="R41" s="23">
        <f t="shared" si="20"/>
        <v>2</v>
      </c>
    </row>
    <row r="42" spans="1:36" x14ac:dyDescent="0.25">
      <c r="A42" s="10" t="s">
        <v>706</v>
      </c>
      <c r="B42" s="23"/>
      <c r="C42" s="23"/>
      <c r="D42" s="23"/>
      <c r="E42" s="23"/>
      <c r="F42" s="23">
        <v>14</v>
      </c>
      <c r="G42" s="23">
        <v>4</v>
      </c>
      <c r="H42" s="23">
        <v>2</v>
      </c>
      <c r="I42" s="23">
        <v>2</v>
      </c>
      <c r="J42" s="23"/>
      <c r="K42" s="23">
        <v>3</v>
      </c>
      <c r="L42" s="23"/>
      <c r="M42" s="23"/>
      <c r="N42" s="23">
        <v>1</v>
      </c>
      <c r="O42" s="23"/>
      <c r="P42" s="23"/>
      <c r="Q42" s="23"/>
      <c r="R42" s="23">
        <f t="shared" si="20"/>
        <v>26</v>
      </c>
    </row>
    <row r="43" spans="1:36" x14ac:dyDescent="0.25">
      <c r="A43" s="10" t="s">
        <v>707</v>
      </c>
      <c r="B43" s="23"/>
      <c r="C43" s="23">
        <v>2</v>
      </c>
      <c r="D43" s="23">
        <v>2</v>
      </c>
      <c r="E43" s="23">
        <v>4</v>
      </c>
      <c r="F43" s="23">
        <v>9</v>
      </c>
      <c r="G43" s="23">
        <v>5</v>
      </c>
      <c r="H43" s="23">
        <v>1</v>
      </c>
      <c r="I43" s="23">
        <v>2</v>
      </c>
      <c r="J43" s="23">
        <v>5</v>
      </c>
      <c r="K43" s="23"/>
      <c r="L43" s="23">
        <v>2</v>
      </c>
      <c r="M43" s="23"/>
      <c r="N43" s="23"/>
      <c r="O43" s="23"/>
      <c r="P43" s="23"/>
      <c r="Q43" s="23"/>
      <c r="R43" s="23">
        <f t="shared" si="20"/>
        <v>32</v>
      </c>
    </row>
    <row r="44" spans="1:36" x14ac:dyDescent="0.25">
      <c r="A44" s="10" t="s">
        <v>709</v>
      </c>
      <c r="B44" s="23"/>
      <c r="C44" s="23"/>
      <c r="D44" s="23"/>
      <c r="E44" s="23"/>
      <c r="F44" s="23"/>
      <c r="G44" s="23"/>
      <c r="H44" s="23"/>
      <c r="I44" s="23"/>
      <c r="J44" s="23">
        <v>1</v>
      </c>
      <c r="K44" s="23"/>
      <c r="L44" s="23"/>
      <c r="M44" s="23"/>
      <c r="N44" s="23"/>
      <c r="O44" s="23"/>
      <c r="P44" s="23"/>
      <c r="Q44" s="23"/>
      <c r="R44" s="23">
        <f t="shared" si="20"/>
        <v>1</v>
      </c>
    </row>
    <row r="45" spans="1:36" x14ac:dyDescent="0.25">
      <c r="A45" s="30" t="s">
        <v>712</v>
      </c>
      <c r="B45" s="31">
        <f>SUM(B38:B39,B28)</f>
        <v>2</v>
      </c>
      <c r="C45" s="31">
        <f>SUM(C38:C39,C28)</f>
        <v>6</v>
      </c>
      <c r="D45" s="31">
        <f>SUM(D38:D39,D28)</f>
        <v>4</v>
      </c>
      <c r="E45" s="31">
        <f>SUM(E38:E39,E28)</f>
        <v>6</v>
      </c>
      <c r="F45" s="31">
        <f>SUM(F38:F39,F28)</f>
        <v>144</v>
      </c>
      <c r="G45" s="31">
        <f>SUM(G38:G39,G28)</f>
        <v>82</v>
      </c>
      <c r="H45" s="31">
        <f>SUM(H38:H39,H28)</f>
        <v>25</v>
      </c>
      <c r="I45" s="31">
        <f>SUM(I38:I39,I28)</f>
        <v>58</v>
      </c>
      <c r="J45" s="31">
        <f>SUM(J38:J39,J28)</f>
        <v>71</v>
      </c>
      <c r="K45" s="31">
        <f>SUM(K38:K39,K28)</f>
        <v>23</v>
      </c>
      <c r="L45" s="31">
        <f>SUM(L38:L39,L28)</f>
        <v>10</v>
      </c>
      <c r="M45" s="31">
        <f>SUM(M38:M39,M28)</f>
        <v>11</v>
      </c>
      <c r="N45" s="31">
        <f>SUM(N38:N39,N28)</f>
        <v>21</v>
      </c>
      <c r="O45" s="31">
        <f>SUM(O38:O39,O28)</f>
        <v>8</v>
      </c>
      <c r="P45" s="31">
        <f>SUM(P38:P39,P28)</f>
        <v>0</v>
      </c>
      <c r="Q45" s="31">
        <f>SUM(Q38:Q39,Q28)</f>
        <v>0</v>
      </c>
      <c r="R45" s="31">
        <f>SUM(R38:R39,R28)</f>
        <v>471</v>
      </c>
    </row>
    <row r="48" spans="1:36" x14ac:dyDescent="0.25">
      <c r="S48" s="16"/>
      <c r="T48" s="16"/>
      <c r="U48" s="16"/>
      <c r="V48" s="16"/>
      <c r="W48" s="16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</row>
    <row r="49" spans="1:36" s="18" customFormat="1" ht="22.5" customHeight="1" x14ac:dyDescent="0.25">
      <c r="A49" s="26" t="s">
        <v>711</v>
      </c>
      <c r="B49" s="27">
        <v>4</v>
      </c>
      <c r="C49" s="27">
        <v>5</v>
      </c>
      <c r="D49" s="27">
        <v>6</v>
      </c>
      <c r="E49" s="27">
        <v>7</v>
      </c>
      <c r="F49" s="27">
        <v>8</v>
      </c>
      <c r="G49" s="27">
        <v>9</v>
      </c>
      <c r="H49" s="27">
        <v>10</v>
      </c>
      <c r="I49" s="27">
        <v>11</v>
      </c>
      <c r="J49" s="27">
        <v>12</v>
      </c>
      <c r="K49" s="27">
        <v>13</v>
      </c>
      <c r="L49" s="27">
        <v>14</v>
      </c>
      <c r="M49" s="27">
        <v>15</v>
      </c>
      <c r="N49" s="27">
        <v>16</v>
      </c>
      <c r="O49" s="27">
        <v>17</v>
      </c>
      <c r="P49" s="27">
        <v>19</v>
      </c>
      <c r="Q49" s="27">
        <v>20</v>
      </c>
      <c r="R49" s="27" t="s">
        <v>712</v>
      </c>
      <c r="S49" s="60"/>
      <c r="T49" s="48" t="s">
        <v>711</v>
      </c>
      <c r="U49" s="51">
        <v>4</v>
      </c>
      <c r="V49" s="51">
        <v>5</v>
      </c>
      <c r="W49" s="51">
        <v>6</v>
      </c>
      <c r="X49" s="51">
        <v>7</v>
      </c>
      <c r="Y49" s="51">
        <v>8</v>
      </c>
      <c r="Z49" s="51">
        <v>9</v>
      </c>
      <c r="AA49" s="51">
        <v>10</v>
      </c>
      <c r="AB49" s="51">
        <v>11</v>
      </c>
      <c r="AC49" s="51">
        <v>12</v>
      </c>
      <c r="AD49" s="51">
        <v>13</v>
      </c>
      <c r="AE49" s="51">
        <v>14</v>
      </c>
      <c r="AF49" s="51">
        <v>15</v>
      </c>
      <c r="AG49" s="51">
        <v>16</v>
      </c>
      <c r="AH49" s="51">
        <v>17</v>
      </c>
      <c r="AI49" s="51" t="s">
        <v>712</v>
      </c>
      <c r="AJ49" s="61"/>
    </row>
    <row r="50" spans="1:36" s="18" customFormat="1" ht="22.5" customHeight="1" x14ac:dyDescent="0.25">
      <c r="A50" s="42" t="s">
        <v>690</v>
      </c>
      <c r="B50" s="43">
        <v>1</v>
      </c>
      <c r="C50" s="43">
        <v>2</v>
      </c>
      <c r="D50" s="43">
        <v>1</v>
      </c>
      <c r="E50" s="43">
        <v>1</v>
      </c>
      <c r="F50" s="43">
        <v>82</v>
      </c>
      <c r="G50" s="43">
        <v>59</v>
      </c>
      <c r="H50" s="43">
        <v>17</v>
      </c>
      <c r="I50" s="43">
        <v>46</v>
      </c>
      <c r="J50" s="43">
        <v>51</v>
      </c>
      <c r="K50" s="43">
        <v>15</v>
      </c>
      <c r="L50" s="43">
        <v>8</v>
      </c>
      <c r="M50" s="43">
        <v>11</v>
      </c>
      <c r="N50" s="43">
        <v>17</v>
      </c>
      <c r="O50" s="43">
        <v>7</v>
      </c>
      <c r="P50" s="43">
        <v>0</v>
      </c>
      <c r="Q50" s="43">
        <v>0</v>
      </c>
      <c r="R50" s="43">
        <v>318</v>
      </c>
      <c r="S50" s="60"/>
      <c r="T50" s="49" t="s">
        <v>713</v>
      </c>
      <c r="U50" s="52">
        <v>1</v>
      </c>
      <c r="V50" s="52">
        <v>2</v>
      </c>
      <c r="W50" s="52">
        <v>1</v>
      </c>
      <c r="X50" s="52">
        <v>1</v>
      </c>
      <c r="Y50" s="52">
        <v>82</v>
      </c>
      <c r="Z50" s="52">
        <v>59</v>
      </c>
      <c r="AA50" s="52">
        <v>17</v>
      </c>
      <c r="AB50" s="52">
        <v>46</v>
      </c>
      <c r="AC50" s="52">
        <v>51</v>
      </c>
      <c r="AD50" s="52">
        <v>15</v>
      </c>
      <c r="AE50" s="52">
        <v>8</v>
      </c>
      <c r="AF50" s="52">
        <v>11</v>
      </c>
      <c r="AG50" s="52">
        <v>17</v>
      </c>
      <c r="AH50" s="52">
        <v>7</v>
      </c>
      <c r="AI50" s="53">
        <v>318</v>
      </c>
      <c r="AJ50" s="61"/>
    </row>
    <row r="51" spans="1:36" s="18" customFormat="1" ht="22.5" customHeight="1" x14ac:dyDescent="0.25">
      <c r="A51" s="44" t="s">
        <v>691</v>
      </c>
      <c r="B51" s="45">
        <v>0</v>
      </c>
      <c r="C51" s="45">
        <v>0</v>
      </c>
      <c r="D51" s="45">
        <v>0</v>
      </c>
      <c r="E51" s="45">
        <v>0</v>
      </c>
      <c r="F51" s="45">
        <v>50</v>
      </c>
      <c r="G51" s="45">
        <v>48</v>
      </c>
      <c r="H51" s="45">
        <v>11</v>
      </c>
      <c r="I51" s="45">
        <v>38</v>
      </c>
      <c r="J51" s="45">
        <v>45</v>
      </c>
      <c r="K51" s="45">
        <v>10</v>
      </c>
      <c r="L51" s="45">
        <v>7</v>
      </c>
      <c r="M51" s="45">
        <v>11</v>
      </c>
      <c r="N51" s="45">
        <v>15</v>
      </c>
      <c r="O51" s="45">
        <v>7</v>
      </c>
      <c r="P51" s="45">
        <v>0</v>
      </c>
      <c r="Q51" s="45">
        <v>0</v>
      </c>
      <c r="R51" s="45">
        <v>242</v>
      </c>
      <c r="S51" s="60"/>
      <c r="T51" s="50" t="s">
        <v>714</v>
      </c>
      <c r="U51" s="54">
        <v>1</v>
      </c>
      <c r="V51" s="54">
        <v>2</v>
      </c>
      <c r="W51" s="54">
        <v>1</v>
      </c>
      <c r="X51" s="54">
        <v>1</v>
      </c>
      <c r="Y51" s="54">
        <v>22</v>
      </c>
      <c r="Z51" s="54">
        <v>8</v>
      </c>
      <c r="AA51" s="54">
        <v>3</v>
      </c>
      <c r="AB51" s="54">
        <v>4</v>
      </c>
      <c r="AC51" s="54">
        <v>10</v>
      </c>
      <c r="AD51" s="54">
        <v>3</v>
      </c>
      <c r="AE51" s="55"/>
      <c r="AF51" s="55"/>
      <c r="AG51" s="54">
        <v>1</v>
      </c>
      <c r="AH51" s="55"/>
      <c r="AI51" s="56">
        <v>56</v>
      </c>
      <c r="AJ51" s="61"/>
    </row>
    <row r="52" spans="1:36" s="18" customFormat="1" ht="22.5" customHeight="1" x14ac:dyDescent="0.25">
      <c r="A52" s="46" t="s">
        <v>697</v>
      </c>
      <c r="B52" s="47"/>
      <c r="C52" s="47"/>
      <c r="D52" s="47"/>
      <c r="E52" s="47"/>
      <c r="F52" s="47">
        <v>25</v>
      </c>
      <c r="G52" s="47">
        <v>6</v>
      </c>
      <c r="H52" s="47">
        <v>4</v>
      </c>
      <c r="I52" s="47">
        <v>5</v>
      </c>
      <c r="J52" s="47">
        <v>3</v>
      </c>
      <c r="K52" s="47">
        <v>4</v>
      </c>
      <c r="L52" s="47">
        <v>1</v>
      </c>
      <c r="M52" s="47"/>
      <c r="N52" s="47">
        <v>2</v>
      </c>
      <c r="O52" s="47"/>
      <c r="P52" s="47"/>
      <c r="Q52" s="47"/>
      <c r="R52" s="47">
        <v>50</v>
      </c>
      <c r="S52" s="60"/>
      <c r="T52" s="49" t="s">
        <v>715</v>
      </c>
      <c r="U52" s="57"/>
      <c r="V52" s="52">
        <v>2</v>
      </c>
      <c r="W52" s="52">
        <v>2</v>
      </c>
      <c r="X52" s="52">
        <v>4</v>
      </c>
      <c r="Y52" s="52">
        <v>40</v>
      </c>
      <c r="Z52" s="52">
        <v>15</v>
      </c>
      <c r="AA52" s="52">
        <v>5</v>
      </c>
      <c r="AB52" s="52">
        <v>8</v>
      </c>
      <c r="AC52" s="52">
        <v>10</v>
      </c>
      <c r="AD52" s="52">
        <v>5</v>
      </c>
      <c r="AE52" s="52">
        <v>2</v>
      </c>
      <c r="AF52" s="57"/>
      <c r="AG52" s="52">
        <v>3</v>
      </c>
      <c r="AH52" s="52">
        <v>1</v>
      </c>
      <c r="AI52" s="53">
        <v>97</v>
      </c>
      <c r="AJ52" s="61"/>
    </row>
    <row r="53" spans="1:36" s="18" customFormat="1" ht="22.5" customHeight="1" x14ac:dyDescent="0.25">
      <c r="A53" s="46" t="s">
        <v>700</v>
      </c>
      <c r="B53" s="47">
        <v>1</v>
      </c>
      <c r="C53" s="47">
        <v>2</v>
      </c>
      <c r="D53" s="47">
        <v>1</v>
      </c>
      <c r="E53" s="47">
        <v>1</v>
      </c>
      <c r="F53" s="47">
        <v>6</v>
      </c>
      <c r="G53" s="47">
        <v>3</v>
      </c>
      <c r="H53" s="47">
        <v>2</v>
      </c>
      <c r="I53" s="47">
        <v>2</v>
      </c>
      <c r="J53" s="47">
        <v>3</v>
      </c>
      <c r="K53" s="47"/>
      <c r="L53" s="47"/>
      <c r="M53" s="47"/>
      <c r="N53" s="47"/>
      <c r="O53" s="47"/>
      <c r="P53" s="47"/>
      <c r="Q53" s="47"/>
      <c r="R53" s="47">
        <v>21</v>
      </c>
      <c r="S53" s="60"/>
      <c r="T53" s="48" t="s">
        <v>712</v>
      </c>
      <c r="U53" s="58">
        <v>2</v>
      </c>
      <c r="V53" s="58">
        <v>6</v>
      </c>
      <c r="W53" s="58">
        <v>4</v>
      </c>
      <c r="X53" s="58">
        <v>6</v>
      </c>
      <c r="Y53" s="59">
        <v>144</v>
      </c>
      <c r="Z53" s="59">
        <v>82</v>
      </c>
      <c r="AA53" s="59">
        <v>25</v>
      </c>
      <c r="AB53" s="59">
        <v>58</v>
      </c>
      <c r="AC53" s="59">
        <v>71</v>
      </c>
      <c r="AD53" s="59">
        <v>23</v>
      </c>
      <c r="AE53" s="58">
        <v>10</v>
      </c>
      <c r="AF53" s="58">
        <v>11</v>
      </c>
      <c r="AG53" s="59">
        <v>21</v>
      </c>
      <c r="AH53" s="58">
        <v>8</v>
      </c>
      <c r="AI53" s="58">
        <v>471</v>
      </c>
      <c r="AJ53" s="61"/>
    </row>
    <row r="54" spans="1:36" x14ac:dyDescent="0.25">
      <c r="A54" s="10" t="s">
        <v>702</v>
      </c>
      <c r="B54" s="23"/>
      <c r="C54" s="23"/>
      <c r="D54" s="23"/>
      <c r="E54" s="23"/>
      <c r="F54" s="23">
        <v>1</v>
      </c>
      <c r="G54" s="23">
        <v>2</v>
      </c>
      <c r="H54" s="23"/>
      <c r="I54" s="23">
        <v>1</v>
      </c>
      <c r="J54" s="23"/>
      <c r="K54" s="23">
        <v>1</v>
      </c>
      <c r="L54" s="23"/>
      <c r="M54" s="23"/>
      <c r="N54" s="23"/>
      <c r="O54" s="23"/>
      <c r="P54" s="23"/>
      <c r="Q54" s="23"/>
      <c r="R54" s="23">
        <v>5</v>
      </c>
      <c r="S54" s="16"/>
      <c r="T54" s="16"/>
      <c r="U54" s="16"/>
      <c r="V54" s="16"/>
      <c r="W54" s="16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</row>
    <row r="55" spans="1:36" x14ac:dyDescent="0.25">
      <c r="A55" s="14" t="s">
        <v>703</v>
      </c>
      <c r="B55" s="24">
        <v>1</v>
      </c>
      <c r="C55" s="24">
        <v>2</v>
      </c>
      <c r="D55" s="24">
        <v>1</v>
      </c>
      <c r="E55" s="24">
        <v>1</v>
      </c>
      <c r="F55" s="24">
        <v>22</v>
      </c>
      <c r="G55" s="24">
        <v>8</v>
      </c>
      <c r="H55" s="24">
        <v>3</v>
      </c>
      <c r="I55" s="24">
        <v>4</v>
      </c>
      <c r="J55" s="24">
        <v>10</v>
      </c>
      <c r="K55" s="24">
        <v>3</v>
      </c>
      <c r="L55" s="24"/>
      <c r="M55" s="24"/>
      <c r="N55" s="24">
        <v>1</v>
      </c>
      <c r="O55" s="24"/>
      <c r="P55" s="24"/>
      <c r="Q55" s="24"/>
      <c r="R55" s="24">
        <v>56</v>
      </c>
    </row>
    <row r="56" spans="1:36" x14ac:dyDescent="0.25">
      <c r="A56" s="6" t="s">
        <v>689</v>
      </c>
      <c r="B56" s="19">
        <v>0</v>
      </c>
      <c r="C56" s="19">
        <v>2</v>
      </c>
      <c r="D56" s="19">
        <v>2</v>
      </c>
      <c r="E56" s="19">
        <v>4</v>
      </c>
      <c r="F56" s="19">
        <v>40</v>
      </c>
      <c r="G56" s="19">
        <v>15</v>
      </c>
      <c r="H56" s="19">
        <v>5</v>
      </c>
      <c r="I56" s="19">
        <v>8</v>
      </c>
      <c r="J56" s="19">
        <v>10</v>
      </c>
      <c r="K56" s="19">
        <v>5</v>
      </c>
      <c r="L56" s="19">
        <v>2</v>
      </c>
      <c r="M56" s="19">
        <v>0</v>
      </c>
      <c r="N56" s="19">
        <v>3</v>
      </c>
      <c r="O56" s="19">
        <v>1</v>
      </c>
      <c r="P56" s="19">
        <v>0</v>
      </c>
      <c r="Q56" s="19">
        <v>0</v>
      </c>
      <c r="R56" s="19">
        <v>97</v>
      </c>
    </row>
    <row r="57" spans="1:36" x14ac:dyDescent="0.25">
      <c r="A57" s="10" t="s">
        <v>704</v>
      </c>
      <c r="B57" s="23"/>
      <c r="C57" s="23"/>
      <c r="D57" s="23"/>
      <c r="E57" s="23"/>
      <c r="F57" s="23">
        <v>17</v>
      </c>
      <c r="G57" s="23">
        <v>5</v>
      </c>
      <c r="H57" s="23">
        <v>2</v>
      </c>
      <c r="I57" s="23">
        <v>4</v>
      </c>
      <c r="J57" s="23">
        <v>4</v>
      </c>
      <c r="K57" s="23">
        <v>2</v>
      </c>
      <c r="L57" s="23"/>
      <c r="M57" s="23"/>
      <c r="N57" s="23">
        <v>1</v>
      </c>
      <c r="O57" s="23">
        <v>1</v>
      </c>
      <c r="P57" s="23"/>
      <c r="Q57" s="23"/>
      <c r="R57" s="23">
        <v>36</v>
      </c>
    </row>
    <row r="58" spans="1:36" x14ac:dyDescent="0.25">
      <c r="A58" s="10" t="s">
        <v>705</v>
      </c>
      <c r="B58" s="23"/>
      <c r="C58" s="23"/>
      <c r="D58" s="23"/>
      <c r="E58" s="23"/>
      <c r="F58" s="23"/>
      <c r="G58" s="23">
        <v>1</v>
      </c>
      <c r="H58" s="23"/>
      <c r="I58" s="23"/>
      <c r="J58" s="23"/>
      <c r="K58" s="23"/>
      <c r="L58" s="23"/>
      <c r="M58" s="23"/>
      <c r="N58" s="23">
        <v>1</v>
      </c>
      <c r="O58" s="23"/>
      <c r="P58" s="23"/>
      <c r="Q58" s="23"/>
      <c r="R58" s="23">
        <v>2</v>
      </c>
    </row>
    <row r="59" spans="1:36" x14ac:dyDescent="0.25">
      <c r="A59" s="10" t="s">
        <v>706</v>
      </c>
      <c r="B59" s="23"/>
      <c r="C59" s="23"/>
      <c r="D59" s="23"/>
      <c r="E59" s="23"/>
      <c r="F59" s="23">
        <v>14</v>
      </c>
      <c r="G59" s="23">
        <v>4</v>
      </c>
      <c r="H59" s="23">
        <v>2</v>
      </c>
      <c r="I59" s="23">
        <v>2</v>
      </c>
      <c r="J59" s="23"/>
      <c r="K59" s="23">
        <v>3</v>
      </c>
      <c r="L59" s="23"/>
      <c r="M59" s="23"/>
      <c r="N59" s="23">
        <v>1</v>
      </c>
      <c r="O59" s="23"/>
      <c r="P59" s="23"/>
      <c r="Q59" s="23"/>
      <c r="R59" s="23">
        <v>26</v>
      </c>
    </row>
    <row r="60" spans="1:36" x14ac:dyDescent="0.25">
      <c r="A60" s="10" t="s">
        <v>707</v>
      </c>
      <c r="B60" s="23"/>
      <c r="C60" s="23">
        <v>2</v>
      </c>
      <c r="D60" s="23">
        <v>2</v>
      </c>
      <c r="E60" s="23">
        <v>4</v>
      </c>
      <c r="F60" s="23">
        <v>9</v>
      </c>
      <c r="G60" s="23">
        <v>5</v>
      </c>
      <c r="H60" s="23">
        <v>1</v>
      </c>
      <c r="I60" s="23">
        <v>2</v>
      </c>
      <c r="J60" s="23">
        <v>5</v>
      </c>
      <c r="K60" s="23"/>
      <c r="L60" s="23">
        <v>2</v>
      </c>
      <c r="M60" s="23"/>
      <c r="N60" s="23"/>
      <c r="O60" s="23"/>
      <c r="P60" s="23"/>
      <c r="Q60" s="23"/>
      <c r="R60" s="23">
        <v>32</v>
      </c>
    </row>
    <row r="61" spans="1:36" x14ac:dyDescent="0.25">
      <c r="A61" s="10" t="s">
        <v>709</v>
      </c>
      <c r="B61" s="23"/>
      <c r="C61" s="23"/>
      <c r="D61" s="23"/>
      <c r="E61" s="23"/>
      <c r="F61" s="23"/>
      <c r="G61" s="23"/>
      <c r="H61" s="23"/>
      <c r="I61" s="23"/>
      <c r="J61" s="23">
        <v>1</v>
      </c>
      <c r="K61" s="23"/>
      <c r="L61" s="23"/>
      <c r="M61" s="23"/>
      <c r="N61" s="23"/>
      <c r="O61" s="23"/>
      <c r="P61" s="23"/>
      <c r="Q61" s="23"/>
      <c r="R61" s="23">
        <v>1</v>
      </c>
    </row>
    <row r="62" spans="1:36" x14ac:dyDescent="0.25">
      <c r="A62" s="30" t="s">
        <v>712</v>
      </c>
      <c r="B62" s="31">
        <v>2</v>
      </c>
      <c r="C62" s="31">
        <v>6</v>
      </c>
      <c r="D62" s="31">
        <v>4</v>
      </c>
      <c r="E62" s="31">
        <v>6</v>
      </c>
      <c r="F62" s="31">
        <v>144</v>
      </c>
      <c r="G62" s="31">
        <v>82</v>
      </c>
      <c r="H62" s="31">
        <v>25</v>
      </c>
      <c r="I62" s="31">
        <v>58</v>
      </c>
      <c r="J62" s="31">
        <v>71</v>
      </c>
      <c r="K62" s="31">
        <v>23</v>
      </c>
      <c r="L62" s="31">
        <v>10</v>
      </c>
      <c r="M62" s="31">
        <v>11</v>
      </c>
      <c r="N62" s="31">
        <v>21</v>
      </c>
      <c r="O62" s="31">
        <v>8</v>
      </c>
      <c r="P62" s="31">
        <v>0</v>
      </c>
      <c r="Q62" s="31">
        <v>0</v>
      </c>
      <c r="R62" s="31">
        <v>471</v>
      </c>
    </row>
  </sheetData>
  <conditionalFormatting sqref="U50:AH52">
    <cfRule type="colorScale" priority="3">
      <colorScale>
        <cfvo type="num" val="1"/>
        <cfvo type="max"/>
        <color theme="5" tint="0.79998168889431442"/>
        <color rgb="FFE86A24"/>
      </colorScale>
    </cfRule>
  </conditionalFormatting>
  <conditionalFormatting sqref="AI50:AI52">
    <cfRule type="colorScale" priority="2">
      <colorScale>
        <cfvo type="min"/>
        <cfvo type="percentile" val="50"/>
        <cfvo type="max"/>
        <color theme="0" tint="-0.14999847407452621"/>
        <color theme="0" tint="-0.34998626667073579"/>
        <color theme="2" tint="-0.499984740745262"/>
      </colorScale>
    </cfRule>
  </conditionalFormatting>
  <conditionalFormatting sqref="U53:AH53">
    <cfRule type="colorScale" priority="1">
      <colorScale>
        <cfvo type="min"/>
        <cfvo type="percentile" val="50"/>
        <cfvo type="max"/>
        <color theme="0" tint="-0.14999847407452621"/>
        <color theme="0" tint="-0.34998626667073579"/>
        <color theme="2" tint="-0.499984740745262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391C5-2220-4E45-A070-AC1E98883AD4}">
  <dimension ref="A1:I579"/>
  <sheetViews>
    <sheetView workbookViewId="0">
      <selection activeCell="C15" sqref="C15"/>
    </sheetView>
  </sheetViews>
  <sheetFormatPr defaultRowHeight="15" x14ac:dyDescent="0.25"/>
  <cols>
    <col min="1" max="1" width="27" bestFit="1" customWidth="1"/>
    <col min="2" max="2" width="40.85546875" bestFit="1" customWidth="1"/>
    <col min="3" max="3" width="31.140625" bestFit="1" customWidth="1"/>
    <col min="4" max="4" width="30.7109375" bestFit="1" customWidth="1"/>
    <col min="5" max="5" width="35" bestFit="1" customWidth="1"/>
    <col min="6" max="6" width="34.42578125" bestFit="1" customWidth="1"/>
    <col min="7" max="7" width="9" bestFit="1" customWidth="1"/>
    <col min="8" max="8" width="10.140625" bestFit="1" customWidth="1"/>
    <col min="9" max="9" width="23.85546875" bestFit="1" customWidth="1"/>
  </cols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11826</v>
      </c>
      <c r="E2" t="s">
        <v>12</v>
      </c>
      <c r="F2" t="s">
        <v>13</v>
      </c>
      <c r="G2" t="s">
        <v>14</v>
      </c>
      <c r="H2" t="s">
        <v>15</v>
      </c>
      <c r="I2" t="s">
        <v>671</v>
      </c>
    </row>
    <row r="3" spans="1:9" x14ac:dyDescent="0.25">
      <c r="A3" t="s">
        <v>16</v>
      </c>
      <c r="B3" t="s">
        <v>10</v>
      </c>
      <c r="C3" t="s">
        <v>11</v>
      </c>
      <c r="D3">
        <v>11827</v>
      </c>
      <c r="E3" t="s">
        <v>12</v>
      </c>
      <c r="F3" t="s">
        <v>13</v>
      </c>
      <c r="G3" t="s">
        <v>17</v>
      </c>
      <c r="H3" t="s">
        <v>15</v>
      </c>
      <c r="I3" t="s">
        <v>671</v>
      </c>
    </row>
    <row r="4" spans="1:9" x14ac:dyDescent="0.25">
      <c r="A4" t="s">
        <v>18</v>
      </c>
      <c r="B4" t="s">
        <v>10</v>
      </c>
      <c r="C4" t="s">
        <v>11</v>
      </c>
      <c r="D4">
        <v>11827</v>
      </c>
      <c r="E4" t="s">
        <v>12</v>
      </c>
      <c r="F4" t="s">
        <v>13</v>
      </c>
      <c r="G4" t="s">
        <v>14</v>
      </c>
      <c r="H4" t="s">
        <v>15</v>
      </c>
      <c r="I4" t="s">
        <v>671</v>
      </c>
    </row>
    <row r="5" spans="1:9" x14ac:dyDescent="0.25">
      <c r="A5" t="s">
        <v>19</v>
      </c>
      <c r="B5" t="s">
        <v>20</v>
      </c>
      <c r="C5" t="s">
        <v>11</v>
      </c>
      <c r="D5">
        <v>11846</v>
      </c>
      <c r="E5" t="s">
        <v>12</v>
      </c>
      <c r="F5" t="s">
        <v>13</v>
      </c>
      <c r="G5" t="s">
        <v>17</v>
      </c>
      <c r="H5" t="s">
        <v>15</v>
      </c>
      <c r="I5" t="s">
        <v>671</v>
      </c>
    </row>
    <row r="6" spans="1:9" x14ac:dyDescent="0.25">
      <c r="A6" t="s">
        <v>21</v>
      </c>
      <c r="B6" t="s">
        <v>20</v>
      </c>
      <c r="C6" t="s">
        <v>11</v>
      </c>
      <c r="D6">
        <v>11846</v>
      </c>
      <c r="E6" t="s">
        <v>12</v>
      </c>
      <c r="F6" t="s">
        <v>13</v>
      </c>
      <c r="G6" t="s">
        <v>14</v>
      </c>
      <c r="H6" t="s">
        <v>15</v>
      </c>
      <c r="I6" t="s">
        <v>671</v>
      </c>
    </row>
    <row r="7" spans="1:9" x14ac:dyDescent="0.25">
      <c r="A7" t="s">
        <v>22</v>
      </c>
      <c r="B7" t="s">
        <v>20</v>
      </c>
      <c r="C7" t="s">
        <v>11</v>
      </c>
      <c r="D7">
        <v>11918</v>
      </c>
      <c r="E7" t="s">
        <v>12</v>
      </c>
      <c r="F7" t="s">
        <v>13</v>
      </c>
      <c r="G7" t="s">
        <v>17</v>
      </c>
      <c r="H7" t="s">
        <v>15</v>
      </c>
      <c r="I7" t="s">
        <v>671</v>
      </c>
    </row>
    <row r="8" spans="1:9" x14ac:dyDescent="0.25">
      <c r="A8" t="s">
        <v>23</v>
      </c>
      <c r="B8" t="s">
        <v>20</v>
      </c>
      <c r="C8" t="s">
        <v>11</v>
      </c>
      <c r="D8">
        <v>11918</v>
      </c>
      <c r="E8" t="s">
        <v>12</v>
      </c>
      <c r="F8" t="s">
        <v>13</v>
      </c>
      <c r="G8" t="s">
        <v>14</v>
      </c>
      <c r="H8" t="s">
        <v>15</v>
      </c>
      <c r="I8" t="s">
        <v>671</v>
      </c>
    </row>
    <row r="9" spans="1:9" x14ac:dyDescent="0.25">
      <c r="A9" t="s">
        <v>24</v>
      </c>
      <c r="B9" t="s">
        <v>25</v>
      </c>
      <c r="C9" t="s">
        <v>26</v>
      </c>
      <c r="D9">
        <v>11831</v>
      </c>
      <c r="E9" t="s">
        <v>27</v>
      </c>
      <c r="F9" t="s">
        <v>13</v>
      </c>
      <c r="G9" t="s">
        <v>17</v>
      </c>
      <c r="H9" t="s">
        <v>15</v>
      </c>
      <c r="I9" t="s">
        <v>671</v>
      </c>
    </row>
    <row r="10" spans="1:9" x14ac:dyDescent="0.25">
      <c r="A10" t="s">
        <v>28</v>
      </c>
      <c r="B10" t="s">
        <v>29</v>
      </c>
      <c r="C10" t="s">
        <v>26</v>
      </c>
      <c r="D10">
        <v>11831</v>
      </c>
      <c r="E10" t="s">
        <v>27</v>
      </c>
      <c r="F10" t="s">
        <v>13</v>
      </c>
      <c r="G10" t="s">
        <v>14</v>
      </c>
      <c r="H10" t="s">
        <v>15</v>
      </c>
      <c r="I10" t="s">
        <v>671</v>
      </c>
    </row>
    <row r="11" spans="1:9" x14ac:dyDescent="0.25">
      <c r="A11" t="s">
        <v>30</v>
      </c>
      <c r="B11" t="s">
        <v>31</v>
      </c>
      <c r="C11" t="s">
        <v>672</v>
      </c>
      <c r="D11">
        <v>11845</v>
      </c>
      <c r="E11" t="s">
        <v>27</v>
      </c>
      <c r="F11" t="s">
        <v>13</v>
      </c>
      <c r="G11" t="s">
        <v>14</v>
      </c>
      <c r="H11" t="s">
        <v>15</v>
      </c>
      <c r="I11" t="s">
        <v>672</v>
      </c>
    </row>
    <row r="12" spans="1:9" x14ac:dyDescent="0.25">
      <c r="A12" t="s">
        <v>32</v>
      </c>
      <c r="B12" t="s">
        <v>31</v>
      </c>
      <c r="C12" t="s">
        <v>672</v>
      </c>
      <c r="D12">
        <v>11845</v>
      </c>
      <c r="E12" t="s">
        <v>27</v>
      </c>
      <c r="F12" t="s">
        <v>13</v>
      </c>
      <c r="G12" t="s">
        <v>14</v>
      </c>
      <c r="H12" t="s">
        <v>15</v>
      </c>
      <c r="I12" t="s">
        <v>672</v>
      </c>
    </row>
    <row r="13" spans="1:9" x14ac:dyDescent="0.25">
      <c r="A13" t="s">
        <v>33</v>
      </c>
      <c r="B13" t="s">
        <v>34</v>
      </c>
      <c r="C13" t="s">
        <v>672</v>
      </c>
      <c r="D13">
        <v>11851</v>
      </c>
      <c r="E13" t="s">
        <v>12</v>
      </c>
      <c r="F13" t="s">
        <v>13</v>
      </c>
      <c r="G13" t="s">
        <v>17</v>
      </c>
      <c r="H13" t="s">
        <v>15</v>
      </c>
      <c r="I13" t="s">
        <v>672</v>
      </c>
    </row>
    <row r="14" spans="1:9" x14ac:dyDescent="0.25">
      <c r="A14" t="s">
        <v>35</v>
      </c>
      <c r="B14" t="s">
        <v>34</v>
      </c>
      <c r="C14" t="s">
        <v>672</v>
      </c>
      <c r="D14">
        <v>11851</v>
      </c>
      <c r="E14" t="s">
        <v>12</v>
      </c>
      <c r="F14" t="s">
        <v>13</v>
      </c>
      <c r="G14" t="s">
        <v>14</v>
      </c>
      <c r="H14" t="s">
        <v>15</v>
      </c>
      <c r="I14" t="s">
        <v>672</v>
      </c>
    </row>
    <row r="15" spans="1:9" x14ac:dyDescent="0.25">
      <c r="A15" t="s">
        <v>36</v>
      </c>
      <c r="B15" t="s">
        <v>37</v>
      </c>
      <c r="C15" t="s">
        <v>672</v>
      </c>
      <c r="D15">
        <v>11873</v>
      </c>
      <c r="E15" t="s">
        <v>12</v>
      </c>
      <c r="F15" t="s">
        <v>13</v>
      </c>
      <c r="G15" t="s">
        <v>17</v>
      </c>
      <c r="H15" t="s">
        <v>15</v>
      </c>
      <c r="I15" t="s">
        <v>672</v>
      </c>
    </row>
    <row r="16" spans="1:9" x14ac:dyDescent="0.25">
      <c r="A16" t="s">
        <v>38</v>
      </c>
      <c r="B16" t="s">
        <v>34</v>
      </c>
      <c r="C16" t="s">
        <v>672</v>
      </c>
      <c r="D16">
        <v>11873</v>
      </c>
      <c r="E16" t="s">
        <v>12</v>
      </c>
      <c r="F16" t="s">
        <v>13</v>
      </c>
      <c r="G16" t="s">
        <v>14</v>
      </c>
      <c r="H16" t="s">
        <v>15</v>
      </c>
      <c r="I16" t="s">
        <v>672</v>
      </c>
    </row>
    <row r="17" spans="1:9" x14ac:dyDescent="0.25">
      <c r="A17" t="s">
        <v>39</v>
      </c>
      <c r="B17" t="s">
        <v>40</v>
      </c>
      <c r="C17" t="s">
        <v>673</v>
      </c>
      <c r="D17">
        <v>11832</v>
      </c>
      <c r="E17" t="s">
        <v>12</v>
      </c>
      <c r="F17" t="s">
        <v>13</v>
      </c>
      <c r="G17" t="s">
        <v>17</v>
      </c>
      <c r="H17" t="s">
        <v>15</v>
      </c>
      <c r="I17" t="s">
        <v>671</v>
      </c>
    </row>
    <row r="18" spans="1:9" x14ac:dyDescent="0.25">
      <c r="A18" t="s">
        <v>41</v>
      </c>
      <c r="B18" t="s">
        <v>40</v>
      </c>
      <c r="C18" t="s">
        <v>673</v>
      </c>
      <c r="D18">
        <v>11832</v>
      </c>
      <c r="E18" t="s">
        <v>12</v>
      </c>
      <c r="F18" t="s">
        <v>13</v>
      </c>
      <c r="G18" t="s">
        <v>14</v>
      </c>
      <c r="H18" t="s">
        <v>15</v>
      </c>
      <c r="I18" t="s">
        <v>671</v>
      </c>
    </row>
    <row r="19" spans="1:9" x14ac:dyDescent="0.25">
      <c r="A19" t="s">
        <v>42</v>
      </c>
      <c r="B19" t="s">
        <v>43</v>
      </c>
      <c r="C19" t="s">
        <v>673</v>
      </c>
      <c r="D19">
        <v>11830</v>
      </c>
      <c r="E19" t="s">
        <v>12</v>
      </c>
      <c r="F19" t="s">
        <v>13</v>
      </c>
      <c r="G19" t="s">
        <v>17</v>
      </c>
      <c r="H19" t="s">
        <v>15</v>
      </c>
      <c r="I19" t="s">
        <v>671</v>
      </c>
    </row>
    <row r="20" spans="1:9" x14ac:dyDescent="0.25">
      <c r="A20" t="s">
        <v>44</v>
      </c>
      <c r="B20" t="s">
        <v>43</v>
      </c>
      <c r="C20" t="s">
        <v>673</v>
      </c>
      <c r="D20">
        <v>11830</v>
      </c>
      <c r="E20" t="s">
        <v>12</v>
      </c>
      <c r="F20" t="s">
        <v>13</v>
      </c>
      <c r="G20" t="s">
        <v>14</v>
      </c>
      <c r="H20" t="s">
        <v>15</v>
      </c>
      <c r="I20" t="s">
        <v>671</v>
      </c>
    </row>
    <row r="21" spans="1:9" x14ac:dyDescent="0.25">
      <c r="A21" t="s">
        <v>45</v>
      </c>
      <c r="B21" t="s">
        <v>46</v>
      </c>
      <c r="C21" t="s">
        <v>11</v>
      </c>
      <c r="D21">
        <v>11920</v>
      </c>
      <c r="E21" t="s">
        <v>27</v>
      </c>
      <c r="F21" t="s">
        <v>13</v>
      </c>
      <c r="G21" t="s">
        <v>17</v>
      </c>
      <c r="H21" t="s">
        <v>15</v>
      </c>
      <c r="I21" t="s">
        <v>671</v>
      </c>
    </row>
    <row r="22" spans="1:9" x14ac:dyDescent="0.25">
      <c r="A22" t="s">
        <v>47</v>
      </c>
      <c r="B22" t="s">
        <v>46</v>
      </c>
      <c r="C22" t="s">
        <v>11</v>
      </c>
      <c r="D22">
        <v>11920</v>
      </c>
      <c r="E22" t="s">
        <v>27</v>
      </c>
      <c r="F22" t="s">
        <v>13</v>
      </c>
      <c r="G22" t="s">
        <v>14</v>
      </c>
      <c r="H22" t="s">
        <v>15</v>
      </c>
      <c r="I22" t="s">
        <v>671</v>
      </c>
    </row>
    <row r="23" spans="1:9" x14ac:dyDescent="0.25">
      <c r="A23" t="s">
        <v>48</v>
      </c>
      <c r="B23" t="s">
        <v>46</v>
      </c>
      <c r="C23" t="s">
        <v>674</v>
      </c>
      <c r="D23">
        <v>11907</v>
      </c>
      <c r="E23" t="s">
        <v>12</v>
      </c>
      <c r="F23" t="s">
        <v>13</v>
      </c>
      <c r="G23" t="s">
        <v>14</v>
      </c>
      <c r="H23" t="s">
        <v>15</v>
      </c>
      <c r="I23" t="s">
        <v>674</v>
      </c>
    </row>
    <row r="24" spans="1:9" x14ac:dyDescent="0.25">
      <c r="A24" t="s">
        <v>49</v>
      </c>
      <c r="B24" t="s">
        <v>50</v>
      </c>
      <c r="C24" t="s">
        <v>675</v>
      </c>
      <c r="D24">
        <v>1923</v>
      </c>
      <c r="E24" t="s">
        <v>12</v>
      </c>
      <c r="F24" t="s">
        <v>13</v>
      </c>
      <c r="G24" t="s">
        <v>17</v>
      </c>
      <c r="H24" t="s">
        <v>15</v>
      </c>
      <c r="I24" t="s">
        <v>675</v>
      </c>
    </row>
    <row r="25" spans="1:9" x14ac:dyDescent="0.25">
      <c r="A25" t="s">
        <v>51</v>
      </c>
      <c r="B25" t="s">
        <v>50</v>
      </c>
      <c r="C25" t="s">
        <v>675</v>
      </c>
      <c r="D25">
        <v>1923</v>
      </c>
      <c r="E25" t="s">
        <v>12</v>
      </c>
      <c r="F25" t="s">
        <v>13</v>
      </c>
      <c r="G25" t="s">
        <v>14</v>
      </c>
      <c r="H25" t="s">
        <v>15</v>
      </c>
      <c r="I25" t="s">
        <v>675</v>
      </c>
    </row>
    <row r="26" spans="1:9" x14ac:dyDescent="0.25">
      <c r="A26" t="s">
        <v>52</v>
      </c>
      <c r="B26" t="s">
        <v>53</v>
      </c>
      <c r="C26" t="s">
        <v>676</v>
      </c>
      <c r="D26">
        <v>11656</v>
      </c>
      <c r="E26" t="s">
        <v>12</v>
      </c>
      <c r="F26" t="s">
        <v>13</v>
      </c>
      <c r="H26" t="s">
        <v>15</v>
      </c>
      <c r="I26" t="s">
        <v>676</v>
      </c>
    </row>
    <row r="27" spans="1:9" x14ac:dyDescent="0.25">
      <c r="A27" t="s">
        <v>54</v>
      </c>
      <c r="B27" t="s">
        <v>53</v>
      </c>
      <c r="C27" t="s">
        <v>676</v>
      </c>
      <c r="D27">
        <v>11833</v>
      </c>
      <c r="E27" t="s">
        <v>12</v>
      </c>
      <c r="F27" t="s">
        <v>13</v>
      </c>
      <c r="G27" t="s">
        <v>17</v>
      </c>
      <c r="H27" t="s">
        <v>15</v>
      </c>
      <c r="I27" t="s">
        <v>676</v>
      </c>
    </row>
    <row r="28" spans="1:9" x14ac:dyDescent="0.25">
      <c r="A28" t="s">
        <v>55</v>
      </c>
      <c r="B28" t="s">
        <v>56</v>
      </c>
      <c r="C28" t="s">
        <v>676</v>
      </c>
      <c r="D28">
        <v>11833</v>
      </c>
      <c r="E28" t="s">
        <v>12</v>
      </c>
      <c r="F28" t="s">
        <v>13</v>
      </c>
      <c r="G28" t="s">
        <v>14</v>
      </c>
      <c r="H28" t="s">
        <v>15</v>
      </c>
      <c r="I28" t="s">
        <v>676</v>
      </c>
    </row>
    <row r="29" spans="1:9" x14ac:dyDescent="0.25">
      <c r="A29" t="s">
        <v>57</v>
      </c>
      <c r="B29" t="s">
        <v>56</v>
      </c>
      <c r="C29" t="s">
        <v>676</v>
      </c>
      <c r="D29">
        <v>11942</v>
      </c>
      <c r="E29" t="s">
        <v>12</v>
      </c>
      <c r="F29" t="s">
        <v>13</v>
      </c>
      <c r="G29" t="s">
        <v>17</v>
      </c>
      <c r="H29" t="s">
        <v>15</v>
      </c>
      <c r="I29" t="s">
        <v>676</v>
      </c>
    </row>
    <row r="30" spans="1:9" x14ac:dyDescent="0.25">
      <c r="A30" t="s">
        <v>58</v>
      </c>
      <c r="B30" t="s">
        <v>56</v>
      </c>
      <c r="C30" t="s">
        <v>677</v>
      </c>
      <c r="D30">
        <v>11841</v>
      </c>
      <c r="E30" t="s">
        <v>27</v>
      </c>
      <c r="F30" t="s">
        <v>13</v>
      </c>
      <c r="G30" t="s">
        <v>17</v>
      </c>
      <c r="H30" t="s">
        <v>15</v>
      </c>
      <c r="I30" t="s">
        <v>677</v>
      </c>
    </row>
    <row r="31" spans="1:9" x14ac:dyDescent="0.25">
      <c r="A31" t="s">
        <v>59</v>
      </c>
      <c r="B31" t="s">
        <v>60</v>
      </c>
      <c r="C31" t="s">
        <v>675</v>
      </c>
      <c r="D31">
        <v>11947</v>
      </c>
      <c r="E31" t="s">
        <v>12</v>
      </c>
      <c r="F31" t="s">
        <v>13</v>
      </c>
      <c r="G31" t="s">
        <v>14</v>
      </c>
      <c r="H31" t="s">
        <v>15</v>
      </c>
      <c r="I31" t="s">
        <v>675</v>
      </c>
    </row>
    <row r="32" spans="1:9" x14ac:dyDescent="0.25">
      <c r="A32" t="s">
        <v>61</v>
      </c>
      <c r="B32" t="s">
        <v>56</v>
      </c>
      <c r="C32" t="s">
        <v>678</v>
      </c>
      <c r="D32">
        <v>11921</v>
      </c>
      <c r="E32" t="s">
        <v>27</v>
      </c>
      <c r="F32" t="s">
        <v>13</v>
      </c>
      <c r="G32" t="s">
        <v>17</v>
      </c>
      <c r="H32" t="s">
        <v>15</v>
      </c>
      <c r="I32" t="s">
        <v>678</v>
      </c>
    </row>
    <row r="33" spans="1:9" x14ac:dyDescent="0.25">
      <c r="A33" t="s">
        <v>62</v>
      </c>
      <c r="B33" t="s">
        <v>63</v>
      </c>
      <c r="C33" t="s">
        <v>679</v>
      </c>
      <c r="D33">
        <v>12007</v>
      </c>
      <c r="E33" t="s">
        <v>27</v>
      </c>
      <c r="F33" t="s">
        <v>13</v>
      </c>
      <c r="G33" t="s">
        <v>17</v>
      </c>
      <c r="H33" t="s">
        <v>15</v>
      </c>
      <c r="I33" t="s">
        <v>679</v>
      </c>
    </row>
    <row r="34" spans="1:9" x14ac:dyDescent="0.25">
      <c r="A34" t="s">
        <v>64</v>
      </c>
      <c r="B34" t="s">
        <v>63</v>
      </c>
      <c r="C34" t="s">
        <v>679</v>
      </c>
      <c r="D34">
        <v>12007</v>
      </c>
      <c r="E34" t="s">
        <v>27</v>
      </c>
      <c r="F34" t="s">
        <v>13</v>
      </c>
      <c r="G34" t="s">
        <v>14</v>
      </c>
      <c r="H34" t="s">
        <v>15</v>
      </c>
      <c r="I34" t="s">
        <v>679</v>
      </c>
    </row>
    <row r="35" spans="1:9" x14ac:dyDescent="0.25">
      <c r="A35" t="s">
        <v>65</v>
      </c>
      <c r="B35" t="s">
        <v>66</v>
      </c>
      <c r="C35" t="s">
        <v>676</v>
      </c>
      <c r="D35">
        <v>11942</v>
      </c>
      <c r="E35" t="s">
        <v>12</v>
      </c>
      <c r="F35" t="s">
        <v>13</v>
      </c>
      <c r="G35" t="s">
        <v>14</v>
      </c>
      <c r="H35" t="s">
        <v>15</v>
      </c>
      <c r="I35" t="s">
        <v>676</v>
      </c>
    </row>
    <row r="36" spans="1:9" x14ac:dyDescent="0.25">
      <c r="A36" t="s">
        <v>67</v>
      </c>
      <c r="B36" t="s">
        <v>10</v>
      </c>
      <c r="C36" t="s">
        <v>11</v>
      </c>
      <c r="D36">
        <v>11823</v>
      </c>
      <c r="E36" t="s">
        <v>27</v>
      </c>
      <c r="F36" t="s">
        <v>68</v>
      </c>
      <c r="G36" t="s">
        <v>17</v>
      </c>
      <c r="H36" t="s">
        <v>15</v>
      </c>
      <c r="I36" t="s">
        <v>671</v>
      </c>
    </row>
    <row r="37" spans="1:9" x14ac:dyDescent="0.25">
      <c r="A37" t="s">
        <v>69</v>
      </c>
      <c r="B37" t="s">
        <v>10</v>
      </c>
      <c r="C37" t="s">
        <v>11</v>
      </c>
      <c r="D37">
        <v>11823</v>
      </c>
      <c r="E37" t="s">
        <v>27</v>
      </c>
      <c r="F37" t="s">
        <v>68</v>
      </c>
      <c r="G37" t="s">
        <v>14</v>
      </c>
      <c r="H37" t="s">
        <v>15</v>
      </c>
      <c r="I37" t="s">
        <v>671</v>
      </c>
    </row>
    <row r="38" spans="1:9" x14ac:dyDescent="0.25">
      <c r="A38" t="s">
        <v>70</v>
      </c>
      <c r="B38" t="s">
        <v>10</v>
      </c>
      <c r="C38" t="s">
        <v>11</v>
      </c>
      <c r="D38">
        <v>11826</v>
      </c>
      <c r="E38" t="s">
        <v>12</v>
      </c>
      <c r="F38" t="s">
        <v>68</v>
      </c>
      <c r="H38" t="s">
        <v>15</v>
      </c>
      <c r="I38" t="s">
        <v>671</v>
      </c>
    </row>
    <row r="39" spans="1:9" x14ac:dyDescent="0.25">
      <c r="A39" t="s">
        <v>71</v>
      </c>
      <c r="B39" t="s">
        <v>20</v>
      </c>
      <c r="C39" t="s">
        <v>11</v>
      </c>
      <c r="D39">
        <v>11827</v>
      </c>
      <c r="E39" t="s">
        <v>12</v>
      </c>
      <c r="F39" t="s">
        <v>68</v>
      </c>
      <c r="H39" t="s">
        <v>15</v>
      </c>
      <c r="I39" t="s">
        <v>671</v>
      </c>
    </row>
    <row r="40" spans="1:9" x14ac:dyDescent="0.25">
      <c r="A40" t="s">
        <v>72</v>
      </c>
      <c r="B40" t="s">
        <v>20</v>
      </c>
      <c r="C40" t="s">
        <v>11</v>
      </c>
      <c r="D40">
        <v>11860</v>
      </c>
      <c r="E40" t="s">
        <v>12</v>
      </c>
      <c r="F40" t="s">
        <v>68</v>
      </c>
      <c r="H40" t="s">
        <v>15</v>
      </c>
      <c r="I40" t="s">
        <v>671</v>
      </c>
    </row>
    <row r="41" spans="1:9" x14ac:dyDescent="0.25">
      <c r="A41" t="s">
        <v>73</v>
      </c>
      <c r="B41" t="s">
        <v>20</v>
      </c>
      <c r="C41" t="s">
        <v>11</v>
      </c>
      <c r="D41">
        <v>11843</v>
      </c>
      <c r="E41" t="s">
        <v>12</v>
      </c>
      <c r="F41" t="s">
        <v>68</v>
      </c>
      <c r="H41" t="s">
        <v>15</v>
      </c>
      <c r="I41" t="s">
        <v>671</v>
      </c>
    </row>
    <row r="42" spans="1:9" x14ac:dyDescent="0.25">
      <c r="A42" t="s">
        <v>74</v>
      </c>
      <c r="B42" t="s">
        <v>20</v>
      </c>
      <c r="C42" t="s">
        <v>11</v>
      </c>
      <c r="D42">
        <v>11444</v>
      </c>
      <c r="E42" t="s">
        <v>27</v>
      </c>
      <c r="F42" t="s">
        <v>68</v>
      </c>
      <c r="H42" t="s">
        <v>15</v>
      </c>
      <c r="I42" t="s">
        <v>671</v>
      </c>
    </row>
    <row r="43" spans="1:9" x14ac:dyDescent="0.25">
      <c r="A43" t="s">
        <v>75</v>
      </c>
      <c r="B43" t="s">
        <v>76</v>
      </c>
      <c r="C43" t="s">
        <v>26</v>
      </c>
      <c r="D43">
        <v>11868</v>
      </c>
      <c r="E43" t="s">
        <v>12</v>
      </c>
      <c r="F43" t="s">
        <v>68</v>
      </c>
      <c r="H43" t="s">
        <v>15</v>
      </c>
      <c r="I43" t="s">
        <v>671</v>
      </c>
    </row>
    <row r="44" spans="1:9" x14ac:dyDescent="0.25">
      <c r="A44" t="s">
        <v>77</v>
      </c>
      <c r="B44" t="s">
        <v>76</v>
      </c>
      <c r="C44" t="s">
        <v>26</v>
      </c>
      <c r="D44">
        <v>11793</v>
      </c>
      <c r="E44" t="s">
        <v>27</v>
      </c>
      <c r="F44" t="s">
        <v>68</v>
      </c>
      <c r="H44" t="s">
        <v>15</v>
      </c>
      <c r="I44" t="s">
        <v>671</v>
      </c>
    </row>
    <row r="45" spans="1:9" x14ac:dyDescent="0.25">
      <c r="A45" t="s">
        <v>78</v>
      </c>
      <c r="B45" t="s">
        <v>76</v>
      </c>
      <c r="C45" t="s">
        <v>26</v>
      </c>
      <c r="D45">
        <v>11443</v>
      </c>
      <c r="E45" t="s">
        <v>12</v>
      </c>
      <c r="F45" t="s">
        <v>68</v>
      </c>
      <c r="H45" t="s">
        <v>15</v>
      </c>
      <c r="I45" t="s">
        <v>671</v>
      </c>
    </row>
    <row r="46" spans="1:9" x14ac:dyDescent="0.25">
      <c r="A46" t="s">
        <v>79</v>
      </c>
      <c r="B46" t="s">
        <v>76</v>
      </c>
      <c r="C46" t="s">
        <v>26</v>
      </c>
      <c r="D46">
        <v>11410</v>
      </c>
      <c r="E46" t="s">
        <v>27</v>
      </c>
      <c r="F46" t="s">
        <v>68</v>
      </c>
      <c r="H46" t="s">
        <v>15</v>
      </c>
      <c r="I46" t="s">
        <v>671</v>
      </c>
    </row>
    <row r="47" spans="1:9" x14ac:dyDescent="0.25">
      <c r="A47" t="s">
        <v>80</v>
      </c>
      <c r="B47" t="s">
        <v>76</v>
      </c>
      <c r="C47" t="s">
        <v>81</v>
      </c>
      <c r="D47">
        <v>11849</v>
      </c>
      <c r="E47" t="s">
        <v>27</v>
      </c>
      <c r="F47" t="s">
        <v>68</v>
      </c>
      <c r="H47" t="s">
        <v>15</v>
      </c>
      <c r="I47" t="s">
        <v>671</v>
      </c>
    </row>
    <row r="48" spans="1:9" x14ac:dyDescent="0.25">
      <c r="A48" t="s">
        <v>82</v>
      </c>
      <c r="B48" t="s">
        <v>76</v>
      </c>
      <c r="C48" t="s">
        <v>81</v>
      </c>
      <c r="D48">
        <v>11811</v>
      </c>
      <c r="E48" t="s">
        <v>12</v>
      </c>
      <c r="F48" t="s">
        <v>68</v>
      </c>
      <c r="H48" t="s">
        <v>15</v>
      </c>
      <c r="I48" t="s">
        <v>671</v>
      </c>
    </row>
    <row r="49" spans="1:9" x14ac:dyDescent="0.25">
      <c r="A49" t="s">
        <v>83</v>
      </c>
      <c r="B49" t="s">
        <v>76</v>
      </c>
      <c r="C49" t="s">
        <v>84</v>
      </c>
      <c r="D49">
        <v>11566</v>
      </c>
      <c r="E49" t="s">
        <v>12</v>
      </c>
      <c r="F49" t="s">
        <v>68</v>
      </c>
      <c r="H49" t="s">
        <v>15</v>
      </c>
      <c r="I49" t="s">
        <v>680</v>
      </c>
    </row>
    <row r="50" spans="1:9" x14ac:dyDescent="0.25">
      <c r="A50" t="s">
        <v>85</v>
      </c>
      <c r="B50" t="s">
        <v>76</v>
      </c>
      <c r="C50" t="s">
        <v>84</v>
      </c>
      <c r="D50">
        <v>11514</v>
      </c>
      <c r="E50" t="s">
        <v>12</v>
      </c>
      <c r="F50" t="s">
        <v>68</v>
      </c>
      <c r="H50" t="s">
        <v>15</v>
      </c>
      <c r="I50" t="s">
        <v>680</v>
      </c>
    </row>
    <row r="51" spans="1:9" x14ac:dyDescent="0.25">
      <c r="A51" t="s">
        <v>86</v>
      </c>
      <c r="B51" t="s">
        <v>76</v>
      </c>
      <c r="C51" t="s">
        <v>87</v>
      </c>
      <c r="D51">
        <v>11770</v>
      </c>
      <c r="E51" t="s">
        <v>12</v>
      </c>
      <c r="F51" t="s">
        <v>68</v>
      </c>
      <c r="H51" t="s">
        <v>15</v>
      </c>
      <c r="I51" t="s">
        <v>680</v>
      </c>
    </row>
    <row r="52" spans="1:9" x14ac:dyDescent="0.25">
      <c r="A52" t="s">
        <v>88</v>
      </c>
      <c r="B52" t="s">
        <v>76</v>
      </c>
      <c r="C52" t="s">
        <v>87</v>
      </c>
      <c r="D52">
        <v>11627</v>
      </c>
      <c r="E52" t="s">
        <v>12</v>
      </c>
      <c r="F52" t="s">
        <v>68</v>
      </c>
      <c r="H52" t="s">
        <v>15</v>
      </c>
      <c r="I52" t="s">
        <v>680</v>
      </c>
    </row>
    <row r="53" spans="1:9" x14ac:dyDescent="0.25">
      <c r="A53" t="s">
        <v>89</v>
      </c>
      <c r="B53" t="s">
        <v>76</v>
      </c>
      <c r="C53" t="s">
        <v>87</v>
      </c>
      <c r="D53">
        <v>11456</v>
      </c>
      <c r="E53" t="s">
        <v>12</v>
      </c>
      <c r="F53" t="s">
        <v>68</v>
      </c>
      <c r="H53" t="s">
        <v>15</v>
      </c>
      <c r="I53" t="s">
        <v>680</v>
      </c>
    </row>
    <row r="54" spans="1:9" x14ac:dyDescent="0.25">
      <c r="A54" t="s">
        <v>90</v>
      </c>
      <c r="B54" t="s">
        <v>43</v>
      </c>
      <c r="C54" t="s">
        <v>673</v>
      </c>
      <c r="D54">
        <v>11800</v>
      </c>
      <c r="E54" t="s">
        <v>12</v>
      </c>
      <c r="F54" t="s">
        <v>68</v>
      </c>
      <c r="H54" t="s">
        <v>15</v>
      </c>
      <c r="I54" t="s">
        <v>671</v>
      </c>
    </row>
    <row r="55" spans="1:9" x14ac:dyDescent="0.25">
      <c r="A55" t="s">
        <v>91</v>
      </c>
      <c r="B55" t="s">
        <v>43</v>
      </c>
      <c r="C55" t="s">
        <v>673</v>
      </c>
      <c r="D55">
        <v>11492</v>
      </c>
      <c r="E55" t="s">
        <v>27</v>
      </c>
      <c r="F55" t="s">
        <v>68</v>
      </c>
      <c r="H55" t="s">
        <v>15</v>
      </c>
      <c r="I55" t="s">
        <v>671</v>
      </c>
    </row>
    <row r="56" spans="1:9" x14ac:dyDescent="0.25">
      <c r="A56" t="s">
        <v>92</v>
      </c>
      <c r="B56" t="s">
        <v>46</v>
      </c>
      <c r="C56" t="s">
        <v>674</v>
      </c>
      <c r="D56">
        <v>11819</v>
      </c>
      <c r="E56" t="s">
        <v>12</v>
      </c>
      <c r="F56" t="s">
        <v>68</v>
      </c>
      <c r="H56" t="s">
        <v>15</v>
      </c>
      <c r="I56" t="s">
        <v>674</v>
      </c>
    </row>
    <row r="57" spans="1:9" x14ac:dyDescent="0.25">
      <c r="A57" t="s">
        <v>93</v>
      </c>
      <c r="B57" t="s">
        <v>50</v>
      </c>
      <c r="C57" t="s">
        <v>681</v>
      </c>
      <c r="D57">
        <v>11794</v>
      </c>
      <c r="E57" t="s">
        <v>12</v>
      </c>
      <c r="F57" t="s">
        <v>68</v>
      </c>
      <c r="H57" t="s">
        <v>15</v>
      </c>
      <c r="I57" t="s">
        <v>681</v>
      </c>
    </row>
    <row r="58" spans="1:9" x14ac:dyDescent="0.25">
      <c r="A58" t="s">
        <v>94</v>
      </c>
      <c r="B58" t="s">
        <v>50</v>
      </c>
      <c r="C58" t="s">
        <v>675</v>
      </c>
      <c r="D58">
        <v>11501</v>
      </c>
      <c r="E58" t="s">
        <v>27</v>
      </c>
      <c r="F58" t="s">
        <v>68</v>
      </c>
      <c r="H58" t="s">
        <v>15</v>
      </c>
      <c r="I58" t="s">
        <v>675</v>
      </c>
    </row>
    <row r="59" spans="1:9" x14ac:dyDescent="0.25">
      <c r="A59" t="s">
        <v>95</v>
      </c>
      <c r="B59" t="s">
        <v>53</v>
      </c>
      <c r="C59" t="s">
        <v>679</v>
      </c>
      <c r="D59">
        <v>1047</v>
      </c>
      <c r="E59" t="s">
        <v>12</v>
      </c>
      <c r="F59" t="s">
        <v>68</v>
      </c>
      <c r="H59" t="s">
        <v>15</v>
      </c>
      <c r="I59" t="s">
        <v>679</v>
      </c>
    </row>
    <row r="60" spans="1:9" x14ac:dyDescent="0.25">
      <c r="A60" t="s">
        <v>96</v>
      </c>
      <c r="B60" t="s">
        <v>53</v>
      </c>
      <c r="C60" t="s">
        <v>679</v>
      </c>
      <c r="D60">
        <v>11429</v>
      </c>
      <c r="E60" t="s">
        <v>12</v>
      </c>
      <c r="F60" t="s">
        <v>68</v>
      </c>
      <c r="H60" t="s">
        <v>15</v>
      </c>
      <c r="I60" t="s">
        <v>679</v>
      </c>
    </row>
    <row r="61" spans="1:9" x14ac:dyDescent="0.25">
      <c r="A61" t="s">
        <v>97</v>
      </c>
      <c r="B61" t="s">
        <v>53</v>
      </c>
      <c r="C61" t="s">
        <v>676</v>
      </c>
      <c r="D61">
        <v>11798</v>
      </c>
      <c r="E61" t="s">
        <v>27</v>
      </c>
      <c r="F61" t="s">
        <v>68</v>
      </c>
      <c r="H61" t="s">
        <v>15</v>
      </c>
      <c r="I61" t="s">
        <v>676</v>
      </c>
    </row>
    <row r="62" spans="1:9" x14ac:dyDescent="0.25">
      <c r="A62" t="s">
        <v>98</v>
      </c>
      <c r="B62" t="s">
        <v>53</v>
      </c>
      <c r="C62" t="s">
        <v>676</v>
      </c>
      <c r="D62">
        <v>11806</v>
      </c>
      <c r="E62" t="s">
        <v>12</v>
      </c>
      <c r="F62" t="s">
        <v>68</v>
      </c>
      <c r="H62" t="s">
        <v>15</v>
      </c>
      <c r="I62" t="s">
        <v>676</v>
      </c>
    </row>
    <row r="63" spans="1:9" x14ac:dyDescent="0.25">
      <c r="A63" t="s">
        <v>99</v>
      </c>
      <c r="B63" t="s">
        <v>56</v>
      </c>
      <c r="C63" t="s">
        <v>677</v>
      </c>
      <c r="D63">
        <v>11880</v>
      </c>
      <c r="E63" t="s">
        <v>27</v>
      </c>
      <c r="F63" t="s">
        <v>68</v>
      </c>
      <c r="H63" t="s">
        <v>15</v>
      </c>
      <c r="I63" t="s">
        <v>677</v>
      </c>
    </row>
    <row r="64" spans="1:9" x14ac:dyDescent="0.25">
      <c r="A64" t="s">
        <v>100</v>
      </c>
      <c r="B64" t="s">
        <v>60</v>
      </c>
      <c r="C64" t="s">
        <v>87</v>
      </c>
      <c r="D64">
        <v>11122</v>
      </c>
      <c r="E64" t="s">
        <v>12</v>
      </c>
      <c r="F64" t="s">
        <v>68</v>
      </c>
      <c r="H64" t="s">
        <v>15</v>
      </c>
      <c r="I64" t="s">
        <v>680</v>
      </c>
    </row>
    <row r="65" spans="1:9" x14ac:dyDescent="0.25">
      <c r="A65" t="s">
        <v>101</v>
      </c>
      <c r="B65" t="s">
        <v>60</v>
      </c>
      <c r="C65" t="s">
        <v>84</v>
      </c>
      <c r="D65">
        <v>11238</v>
      </c>
      <c r="E65" t="s">
        <v>12</v>
      </c>
      <c r="F65" t="s">
        <v>68</v>
      </c>
      <c r="H65" t="s">
        <v>15</v>
      </c>
      <c r="I65" t="s">
        <v>680</v>
      </c>
    </row>
    <row r="66" spans="1:9" x14ac:dyDescent="0.25">
      <c r="A66" t="s">
        <v>102</v>
      </c>
      <c r="B66" t="s">
        <v>60</v>
      </c>
      <c r="C66" t="s">
        <v>84</v>
      </c>
      <c r="D66">
        <v>11286</v>
      </c>
      <c r="E66" t="s">
        <v>27</v>
      </c>
      <c r="F66" t="s">
        <v>68</v>
      </c>
      <c r="H66" t="s">
        <v>15</v>
      </c>
      <c r="I66" t="s">
        <v>680</v>
      </c>
    </row>
    <row r="67" spans="1:9" x14ac:dyDescent="0.25">
      <c r="A67" t="s">
        <v>103</v>
      </c>
      <c r="B67" t="s">
        <v>60</v>
      </c>
      <c r="C67" t="s">
        <v>104</v>
      </c>
      <c r="D67">
        <v>11237</v>
      </c>
      <c r="E67" t="s">
        <v>27</v>
      </c>
      <c r="F67" t="s">
        <v>68</v>
      </c>
      <c r="H67" t="s">
        <v>15</v>
      </c>
      <c r="I67" t="s">
        <v>671</v>
      </c>
    </row>
    <row r="68" spans="1:9" x14ac:dyDescent="0.25">
      <c r="A68" t="s">
        <v>105</v>
      </c>
      <c r="B68" t="s">
        <v>60</v>
      </c>
      <c r="C68" t="s">
        <v>104</v>
      </c>
      <c r="D68">
        <v>11382</v>
      </c>
      <c r="E68" t="s">
        <v>27</v>
      </c>
      <c r="F68" t="s">
        <v>68</v>
      </c>
      <c r="H68" t="s">
        <v>15</v>
      </c>
      <c r="I68" t="s">
        <v>671</v>
      </c>
    </row>
    <row r="69" spans="1:9" x14ac:dyDescent="0.25">
      <c r="A69" t="s">
        <v>106</v>
      </c>
      <c r="B69" t="s">
        <v>60</v>
      </c>
      <c r="C69" t="s">
        <v>81</v>
      </c>
      <c r="D69">
        <v>11254</v>
      </c>
      <c r="E69" t="s">
        <v>27</v>
      </c>
      <c r="F69" t="s">
        <v>68</v>
      </c>
      <c r="H69" t="s">
        <v>15</v>
      </c>
      <c r="I69" t="s">
        <v>671</v>
      </c>
    </row>
    <row r="70" spans="1:9" x14ac:dyDescent="0.25">
      <c r="A70" t="s">
        <v>107</v>
      </c>
      <c r="B70" t="s">
        <v>60</v>
      </c>
      <c r="C70" t="s">
        <v>81</v>
      </c>
      <c r="D70">
        <v>11471</v>
      </c>
      <c r="E70" t="s">
        <v>27</v>
      </c>
      <c r="F70" t="s">
        <v>68</v>
      </c>
      <c r="H70" t="s">
        <v>15</v>
      </c>
      <c r="I70" t="s">
        <v>671</v>
      </c>
    </row>
    <row r="71" spans="1:9" x14ac:dyDescent="0.25">
      <c r="A71" t="s">
        <v>108</v>
      </c>
      <c r="B71" t="s">
        <v>60</v>
      </c>
      <c r="C71" t="s">
        <v>682</v>
      </c>
      <c r="D71">
        <v>11875</v>
      </c>
      <c r="E71" t="s">
        <v>27</v>
      </c>
      <c r="F71" t="s">
        <v>68</v>
      </c>
      <c r="H71" t="s">
        <v>15</v>
      </c>
      <c r="I71" t="s">
        <v>682</v>
      </c>
    </row>
    <row r="72" spans="1:9" x14ac:dyDescent="0.25">
      <c r="A72" t="s">
        <v>109</v>
      </c>
      <c r="B72" t="s">
        <v>60</v>
      </c>
      <c r="C72" t="s">
        <v>81</v>
      </c>
      <c r="D72">
        <v>11304</v>
      </c>
      <c r="E72" t="s">
        <v>12</v>
      </c>
      <c r="F72" t="s">
        <v>68</v>
      </c>
      <c r="H72" t="s">
        <v>15</v>
      </c>
      <c r="I72" t="s">
        <v>671</v>
      </c>
    </row>
    <row r="73" spans="1:9" x14ac:dyDescent="0.25">
      <c r="A73" t="s">
        <v>110</v>
      </c>
      <c r="B73" t="s">
        <v>60</v>
      </c>
      <c r="C73" t="s">
        <v>81</v>
      </c>
      <c r="D73">
        <v>11165</v>
      </c>
      <c r="E73" t="s">
        <v>12</v>
      </c>
      <c r="F73" t="s">
        <v>68</v>
      </c>
      <c r="H73" t="s">
        <v>15</v>
      </c>
      <c r="I73" t="s">
        <v>671</v>
      </c>
    </row>
    <row r="74" spans="1:9" x14ac:dyDescent="0.25">
      <c r="A74" t="s">
        <v>111</v>
      </c>
      <c r="B74" t="s">
        <v>112</v>
      </c>
      <c r="C74" t="s">
        <v>26</v>
      </c>
      <c r="D74">
        <v>1707</v>
      </c>
      <c r="E74" t="s">
        <v>12</v>
      </c>
      <c r="F74" t="s">
        <v>68</v>
      </c>
      <c r="H74" t="s">
        <v>113</v>
      </c>
      <c r="I74" t="s">
        <v>671</v>
      </c>
    </row>
    <row r="75" spans="1:9" x14ac:dyDescent="0.25">
      <c r="A75" t="s">
        <v>114</v>
      </c>
      <c r="B75" t="s">
        <v>112</v>
      </c>
      <c r="C75" t="s">
        <v>11</v>
      </c>
      <c r="D75">
        <v>1607</v>
      </c>
      <c r="E75" t="s">
        <v>12</v>
      </c>
      <c r="F75" t="s">
        <v>68</v>
      </c>
      <c r="H75" t="s">
        <v>113</v>
      </c>
      <c r="I75" t="s">
        <v>671</v>
      </c>
    </row>
    <row r="76" spans="1:9" x14ac:dyDescent="0.25">
      <c r="A76" t="s">
        <v>115</v>
      </c>
      <c r="B76" t="s">
        <v>112</v>
      </c>
      <c r="C76" t="s">
        <v>11</v>
      </c>
      <c r="D76">
        <v>2193</v>
      </c>
      <c r="E76" t="s">
        <v>27</v>
      </c>
      <c r="F76" t="s">
        <v>68</v>
      </c>
      <c r="H76" t="s">
        <v>113</v>
      </c>
      <c r="I76" t="s">
        <v>671</v>
      </c>
    </row>
    <row r="77" spans="1:9" x14ac:dyDescent="0.25">
      <c r="A77" t="s">
        <v>116</v>
      </c>
      <c r="B77" t="s">
        <v>112</v>
      </c>
      <c r="C77" t="s">
        <v>11</v>
      </c>
      <c r="D77">
        <v>11120</v>
      </c>
      <c r="E77" t="s">
        <v>27</v>
      </c>
      <c r="F77" t="s">
        <v>68</v>
      </c>
      <c r="H77" t="s">
        <v>113</v>
      </c>
      <c r="I77" t="s">
        <v>671</v>
      </c>
    </row>
    <row r="78" spans="1:9" x14ac:dyDescent="0.25">
      <c r="A78" t="s">
        <v>117</v>
      </c>
      <c r="B78" t="s">
        <v>112</v>
      </c>
      <c r="C78" t="s">
        <v>104</v>
      </c>
      <c r="D78">
        <v>11354</v>
      </c>
      <c r="E78" t="s">
        <v>27</v>
      </c>
      <c r="F78" t="s">
        <v>68</v>
      </c>
      <c r="H78" t="s">
        <v>113</v>
      </c>
      <c r="I78" t="s">
        <v>671</v>
      </c>
    </row>
    <row r="79" spans="1:9" x14ac:dyDescent="0.25">
      <c r="A79" t="s">
        <v>118</v>
      </c>
      <c r="B79" t="s">
        <v>112</v>
      </c>
      <c r="C79" t="s">
        <v>104</v>
      </c>
      <c r="D79">
        <v>11245</v>
      </c>
      <c r="E79" t="s">
        <v>12</v>
      </c>
      <c r="F79" t="s">
        <v>68</v>
      </c>
      <c r="H79" t="s">
        <v>113</v>
      </c>
      <c r="I79" t="s">
        <v>671</v>
      </c>
    </row>
    <row r="80" spans="1:9" x14ac:dyDescent="0.25">
      <c r="A80" t="s">
        <v>119</v>
      </c>
      <c r="B80" t="s">
        <v>112</v>
      </c>
      <c r="C80" t="s">
        <v>104</v>
      </c>
      <c r="D80">
        <v>11241</v>
      </c>
      <c r="E80" t="s">
        <v>12</v>
      </c>
      <c r="F80" t="s">
        <v>68</v>
      </c>
      <c r="H80" t="s">
        <v>113</v>
      </c>
      <c r="I80" t="s">
        <v>671</v>
      </c>
    </row>
    <row r="81" spans="1:9" x14ac:dyDescent="0.25">
      <c r="A81" t="s">
        <v>120</v>
      </c>
      <c r="B81" t="s">
        <v>112</v>
      </c>
      <c r="C81" t="s">
        <v>104</v>
      </c>
      <c r="D81">
        <v>11156</v>
      </c>
      <c r="E81" t="s">
        <v>27</v>
      </c>
      <c r="F81" t="s">
        <v>68</v>
      </c>
      <c r="H81" t="s">
        <v>113</v>
      </c>
      <c r="I81" t="s">
        <v>671</v>
      </c>
    </row>
    <row r="82" spans="1:9" x14ac:dyDescent="0.25">
      <c r="A82" t="s">
        <v>121</v>
      </c>
      <c r="B82" t="s">
        <v>122</v>
      </c>
      <c r="C82" t="s">
        <v>84</v>
      </c>
      <c r="D82">
        <v>11894</v>
      </c>
      <c r="E82" t="s">
        <v>27</v>
      </c>
      <c r="F82" t="s">
        <v>68</v>
      </c>
      <c r="H82" t="s">
        <v>15</v>
      </c>
      <c r="I82" t="s">
        <v>680</v>
      </c>
    </row>
    <row r="83" spans="1:9" x14ac:dyDescent="0.25">
      <c r="A83" t="s">
        <v>123</v>
      </c>
      <c r="B83" t="s">
        <v>122</v>
      </c>
      <c r="C83" t="s">
        <v>84</v>
      </c>
      <c r="D83">
        <v>11470</v>
      </c>
      <c r="E83" t="s">
        <v>12</v>
      </c>
      <c r="F83" t="s">
        <v>68</v>
      </c>
      <c r="H83" t="s">
        <v>15</v>
      </c>
      <c r="I83" t="s">
        <v>680</v>
      </c>
    </row>
    <row r="84" spans="1:9" x14ac:dyDescent="0.25">
      <c r="A84" t="s">
        <v>124</v>
      </c>
      <c r="B84" t="s">
        <v>122</v>
      </c>
      <c r="C84" t="s">
        <v>84</v>
      </c>
      <c r="D84">
        <v>11363</v>
      </c>
      <c r="E84" t="s">
        <v>12</v>
      </c>
      <c r="F84" t="s">
        <v>68</v>
      </c>
      <c r="H84" t="s">
        <v>15</v>
      </c>
      <c r="I84" t="s">
        <v>680</v>
      </c>
    </row>
    <row r="85" spans="1:9" x14ac:dyDescent="0.25">
      <c r="A85" t="s">
        <v>125</v>
      </c>
      <c r="B85" t="s">
        <v>122</v>
      </c>
      <c r="C85" t="s">
        <v>84</v>
      </c>
      <c r="D85">
        <v>11323</v>
      </c>
      <c r="E85" t="s">
        <v>12</v>
      </c>
      <c r="F85" t="s">
        <v>68</v>
      </c>
      <c r="H85" t="s">
        <v>15</v>
      </c>
      <c r="I85" t="s">
        <v>680</v>
      </c>
    </row>
    <row r="86" spans="1:9" x14ac:dyDescent="0.25">
      <c r="A86" t="s">
        <v>126</v>
      </c>
      <c r="B86" t="s">
        <v>122</v>
      </c>
      <c r="C86" t="s">
        <v>84</v>
      </c>
      <c r="D86">
        <v>11320</v>
      </c>
      <c r="E86" t="s">
        <v>27</v>
      </c>
      <c r="F86" t="s">
        <v>68</v>
      </c>
      <c r="H86" t="s">
        <v>15</v>
      </c>
      <c r="I86" t="s">
        <v>680</v>
      </c>
    </row>
    <row r="87" spans="1:9" x14ac:dyDescent="0.25">
      <c r="A87" t="s">
        <v>127</v>
      </c>
      <c r="B87" t="s">
        <v>122</v>
      </c>
      <c r="C87" t="s">
        <v>84</v>
      </c>
      <c r="D87">
        <v>11318</v>
      </c>
      <c r="E87" t="s">
        <v>27</v>
      </c>
      <c r="F87" t="s">
        <v>68</v>
      </c>
      <c r="H87" t="s">
        <v>15</v>
      </c>
      <c r="I87" t="s">
        <v>680</v>
      </c>
    </row>
    <row r="88" spans="1:9" x14ac:dyDescent="0.25">
      <c r="A88" t="s">
        <v>128</v>
      </c>
      <c r="B88" t="s">
        <v>122</v>
      </c>
      <c r="C88" t="s">
        <v>84</v>
      </c>
      <c r="D88">
        <v>11317</v>
      </c>
      <c r="E88" t="s">
        <v>27</v>
      </c>
      <c r="F88" t="s">
        <v>68</v>
      </c>
      <c r="H88" t="s">
        <v>15</v>
      </c>
      <c r="I88" t="s">
        <v>680</v>
      </c>
    </row>
    <row r="89" spans="1:9" x14ac:dyDescent="0.25">
      <c r="A89" t="s">
        <v>129</v>
      </c>
      <c r="B89" t="s">
        <v>122</v>
      </c>
      <c r="C89" t="s">
        <v>84</v>
      </c>
      <c r="D89">
        <v>11300</v>
      </c>
      <c r="E89" t="s">
        <v>27</v>
      </c>
      <c r="F89" t="s">
        <v>68</v>
      </c>
      <c r="H89" t="s">
        <v>15</v>
      </c>
      <c r="I89" t="s">
        <v>680</v>
      </c>
    </row>
    <row r="90" spans="1:9" x14ac:dyDescent="0.25">
      <c r="A90" t="s">
        <v>130</v>
      </c>
      <c r="B90" t="s">
        <v>122</v>
      </c>
      <c r="C90" t="s">
        <v>87</v>
      </c>
      <c r="D90">
        <v>11859</v>
      </c>
      <c r="E90" t="s">
        <v>27</v>
      </c>
      <c r="F90" t="s">
        <v>68</v>
      </c>
      <c r="H90" t="s">
        <v>15</v>
      </c>
      <c r="I90" t="s">
        <v>680</v>
      </c>
    </row>
    <row r="91" spans="1:9" x14ac:dyDescent="0.25">
      <c r="A91" t="s">
        <v>131</v>
      </c>
      <c r="B91" t="s">
        <v>122</v>
      </c>
      <c r="C91" t="s">
        <v>87</v>
      </c>
      <c r="D91">
        <v>11469</v>
      </c>
      <c r="E91" t="s">
        <v>12</v>
      </c>
      <c r="F91" t="s">
        <v>68</v>
      </c>
      <c r="H91" t="s">
        <v>15</v>
      </c>
      <c r="I91" t="s">
        <v>680</v>
      </c>
    </row>
    <row r="92" spans="1:9" x14ac:dyDescent="0.25">
      <c r="A92" t="s">
        <v>132</v>
      </c>
      <c r="B92" t="s">
        <v>122</v>
      </c>
      <c r="C92" t="s">
        <v>87</v>
      </c>
      <c r="D92">
        <v>11438</v>
      </c>
      <c r="E92" t="s">
        <v>27</v>
      </c>
      <c r="F92" t="s">
        <v>68</v>
      </c>
      <c r="H92" t="s">
        <v>15</v>
      </c>
      <c r="I92" t="s">
        <v>680</v>
      </c>
    </row>
    <row r="93" spans="1:9" x14ac:dyDescent="0.25">
      <c r="A93" t="s">
        <v>133</v>
      </c>
      <c r="B93" t="s">
        <v>122</v>
      </c>
      <c r="C93" t="s">
        <v>87</v>
      </c>
      <c r="D93">
        <v>11322</v>
      </c>
      <c r="E93" t="s">
        <v>27</v>
      </c>
      <c r="F93" t="s">
        <v>68</v>
      </c>
      <c r="H93" t="s">
        <v>15</v>
      </c>
      <c r="I93" t="s">
        <v>680</v>
      </c>
    </row>
    <row r="94" spans="1:9" x14ac:dyDescent="0.25">
      <c r="A94" t="s">
        <v>134</v>
      </c>
      <c r="B94" t="s">
        <v>122</v>
      </c>
      <c r="C94" t="s">
        <v>87</v>
      </c>
      <c r="D94">
        <v>11234</v>
      </c>
      <c r="E94" t="s">
        <v>12</v>
      </c>
      <c r="F94" t="s">
        <v>68</v>
      </c>
      <c r="H94" t="s">
        <v>15</v>
      </c>
      <c r="I94" t="s">
        <v>680</v>
      </c>
    </row>
    <row r="95" spans="1:9" x14ac:dyDescent="0.25">
      <c r="A95" t="s">
        <v>135</v>
      </c>
      <c r="B95" t="s">
        <v>122</v>
      </c>
      <c r="C95" t="s">
        <v>136</v>
      </c>
      <c r="D95">
        <v>11395</v>
      </c>
      <c r="E95" t="s">
        <v>27</v>
      </c>
      <c r="F95" t="s">
        <v>68</v>
      </c>
      <c r="H95" t="s">
        <v>15</v>
      </c>
      <c r="I95" t="s">
        <v>683</v>
      </c>
    </row>
    <row r="96" spans="1:9" x14ac:dyDescent="0.25">
      <c r="A96" t="s">
        <v>137</v>
      </c>
      <c r="B96" t="s">
        <v>122</v>
      </c>
      <c r="C96" t="s">
        <v>136</v>
      </c>
      <c r="D96">
        <v>11321</v>
      </c>
      <c r="E96" t="s">
        <v>27</v>
      </c>
      <c r="F96" t="s">
        <v>68</v>
      </c>
      <c r="H96" t="s">
        <v>15</v>
      </c>
      <c r="I96" t="s">
        <v>683</v>
      </c>
    </row>
    <row r="97" spans="1:9" x14ac:dyDescent="0.25">
      <c r="A97" t="s">
        <v>138</v>
      </c>
      <c r="B97" t="s">
        <v>122</v>
      </c>
      <c r="C97" t="s">
        <v>139</v>
      </c>
      <c r="D97">
        <v>11334</v>
      </c>
      <c r="E97" t="s">
        <v>12</v>
      </c>
      <c r="F97" t="s">
        <v>68</v>
      </c>
      <c r="H97" t="s">
        <v>15</v>
      </c>
      <c r="I97" t="s">
        <v>683</v>
      </c>
    </row>
    <row r="98" spans="1:9" x14ac:dyDescent="0.25">
      <c r="A98" t="s">
        <v>140</v>
      </c>
      <c r="B98" t="s">
        <v>122</v>
      </c>
      <c r="C98" t="s">
        <v>141</v>
      </c>
      <c r="D98">
        <v>11397</v>
      </c>
      <c r="E98" t="s">
        <v>12</v>
      </c>
      <c r="F98" t="s">
        <v>68</v>
      </c>
      <c r="H98" t="s">
        <v>15</v>
      </c>
      <c r="I98" t="s">
        <v>684</v>
      </c>
    </row>
    <row r="99" spans="1:9" x14ac:dyDescent="0.25">
      <c r="A99" t="s">
        <v>142</v>
      </c>
      <c r="B99" t="s">
        <v>60</v>
      </c>
      <c r="C99" t="s">
        <v>141</v>
      </c>
      <c r="D99">
        <v>11405</v>
      </c>
      <c r="E99" t="s">
        <v>12</v>
      </c>
      <c r="F99" t="s">
        <v>68</v>
      </c>
      <c r="H99" t="s">
        <v>15</v>
      </c>
      <c r="I99" t="s">
        <v>684</v>
      </c>
    </row>
    <row r="100" spans="1:9" x14ac:dyDescent="0.25">
      <c r="A100" t="s">
        <v>143</v>
      </c>
      <c r="B100" t="s">
        <v>144</v>
      </c>
      <c r="C100" t="s">
        <v>104</v>
      </c>
      <c r="D100">
        <v>11143</v>
      </c>
      <c r="E100" t="s">
        <v>27</v>
      </c>
      <c r="F100" t="s">
        <v>68</v>
      </c>
      <c r="H100" t="s">
        <v>15</v>
      </c>
      <c r="I100" t="s">
        <v>671</v>
      </c>
    </row>
    <row r="101" spans="1:9" x14ac:dyDescent="0.25">
      <c r="A101" t="s">
        <v>145</v>
      </c>
      <c r="B101" t="s">
        <v>144</v>
      </c>
      <c r="C101" t="s">
        <v>672</v>
      </c>
      <c r="D101">
        <v>11312</v>
      </c>
      <c r="E101" t="s">
        <v>12</v>
      </c>
      <c r="F101" t="s">
        <v>68</v>
      </c>
      <c r="H101" t="s">
        <v>15</v>
      </c>
      <c r="I101" t="s">
        <v>672</v>
      </c>
    </row>
    <row r="102" spans="1:9" x14ac:dyDescent="0.25">
      <c r="A102" t="s">
        <v>146</v>
      </c>
      <c r="B102" t="s">
        <v>144</v>
      </c>
      <c r="C102" t="s">
        <v>673</v>
      </c>
      <c r="D102">
        <v>11160</v>
      </c>
      <c r="E102" t="s">
        <v>12</v>
      </c>
      <c r="F102" t="s">
        <v>68</v>
      </c>
      <c r="H102" t="s">
        <v>15</v>
      </c>
      <c r="I102" t="s">
        <v>671</v>
      </c>
    </row>
    <row r="103" spans="1:9" x14ac:dyDescent="0.25">
      <c r="A103" t="s">
        <v>147</v>
      </c>
      <c r="B103" t="s">
        <v>144</v>
      </c>
      <c r="C103" t="s">
        <v>673</v>
      </c>
      <c r="D103">
        <v>11144</v>
      </c>
      <c r="E103" t="s">
        <v>27</v>
      </c>
      <c r="F103" t="s">
        <v>68</v>
      </c>
      <c r="H103" t="s">
        <v>15</v>
      </c>
      <c r="I103" t="s">
        <v>671</v>
      </c>
    </row>
    <row r="104" spans="1:9" x14ac:dyDescent="0.25">
      <c r="A104" t="s">
        <v>148</v>
      </c>
      <c r="B104" t="s">
        <v>144</v>
      </c>
      <c r="C104" t="s">
        <v>685</v>
      </c>
      <c r="D104">
        <v>11589</v>
      </c>
      <c r="E104" t="s">
        <v>27</v>
      </c>
      <c r="F104" t="s">
        <v>68</v>
      </c>
      <c r="H104" t="s">
        <v>15</v>
      </c>
      <c r="I104" t="s">
        <v>685</v>
      </c>
    </row>
    <row r="105" spans="1:9" x14ac:dyDescent="0.25">
      <c r="A105" t="s">
        <v>149</v>
      </c>
      <c r="B105" t="s">
        <v>144</v>
      </c>
      <c r="C105" t="s">
        <v>81</v>
      </c>
      <c r="D105">
        <v>11876</v>
      </c>
      <c r="E105" t="s">
        <v>27</v>
      </c>
      <c r="F105" t="s">
        <v>68</v>
      </c>
      <c r="H105" t="s">
        <v>15</v>
      </c>
      <c r="I105" t="s">
        <v>671</v>
      </c>
    </row>
    <row r="106" spans="1:9" x14ac:dyDescent="0.25">
      <c r="A106" t="s">
        <v>150</v>
      </c>
      <c r="B106" t="s">
        <v>144</v>
      </c>
      <c r="C106" t="s">
        <v>682</v>
      </c>
      <c r="D106">
        <v>11581</v>
      </c>
      <c r="E106" t="s">
        <v>27</v>
      </c>
      <c r="F106" t="s">
        <v>68</v>
      </c>
      <c r="H106" t="s">
        <v>15</v>
      </c>
      <c r="I106" t="s">
        <v>682</v>
      </c>
    </row>
    <row r="107" spans="1:9" x14ac:dyDescent="0.25">
      <c r="A107" t="s">
        <v>151</v>
      </c>
      <c r="B107" t="s">
        <v>144</v>
      </c>
      <c r="C107" t="s">
        <v>678</v>
      </c>
      <c r="D107">
        <v>11808</v>
      </c>
      <c r="E107" t="s">
        <v>27</v>
      </c>
      <c r="F107" t="s">
        <v>68</v>
      </c>
      <c r="H107" t="s">
        <v>15</v>
      </c>
      <c r="I107" t="s">
        <v>678</v>
      </c>
    </row>
    <row r="108" spans="1:9" x14ac:dyDescent="0.25">
      <c r="A108" t="s">
        <v>152</v>
      </c>
      <c r="B108" t="s">
        <v>144</v>
      </c>
      <c r="C108" t="s">
        <v>678</v>
      </c>
      <c r="D108">
        <v>11580</v>
      </c>
      <c r="E108" t="s">
        <v>27</v>
      </c>
      <c r="F108" t="s">
        <v>68</v>
      </c>
      <c r="H108" t="s">
        <v>15</v>
      </c>
      <c r="I108" t="s">
        <v>678</v>
      </c>
    </row>
    <row r="109" spans="1:9" x14ac:dyDescent="0.25">
      <c r="A109" t="s">
        <v>153</v>
      </c>
      <c r="B109" t="s">
        <v>144</v>
      </c>
      <c r="C109" t="s">
        <v>678</v>
      </c>
      <c r="D109">
        <v>11464</v>
      </c>
      <c r="E109" t="s">
        <v>12</v>
      </c>
      <c r="F109" t="s">
        <v>68</v>
      </c>
      <c r="H109" t="s">
        <v>15</v>
      </c>
      <c r="I109" t="s">
        <v>678</v>
      </c>
    </row>
    <row r="110" spans="1:9" x14ac:dyDescent="0.25">
      <c r="A110" t="s">
        <v>154</v>
      </c>
      <c r="B110" t="s">
        <v>144</v>
      </c>
      <c r="C110" t="s">
        <v>674</v>
      </c>
      <c r="D110">
        <v>11819</v>
      </c>
      <c r="E110" t="s">
        <v>12</v>
      </c>
      <c r="F110" t="s">
        <v>68</v>
      </c>
      <c r="H110" t="s">
        <v>15</v>
      </c>
      <c r="I110" t="s">
        <v>674</v>
      </c>
    </row>
    <row r="111" spans="1:9" x14ac:dyDescent="0.25">
      <c r="A111" t="s">
        <v>155</v>
      </c>
      <c r="B111" t="s">
        <v>144</v>
      </c>
      <c r="C111" t="s">
        <v>686</v>
      </c>
      <c r="D111">
        <v>11801</v>
      </c>
      <c r="E111" t="s">
        <v>12</v>
      </c>
      <c r="F111" t="s">
        <v>68</v>
      </c>
      <c r="H111" t="s">
        <v>15</v>
      </c>
      <c r="I111" t="s">
        <v>686</v>
      </c>
    </row>
    <row r="112" spans="1:9" x14ac:dyDescent="0.25">
      <c r="A112" t="s">
        <v>156</v>
      </c>
      <c r="B112" t="s">
        <v>144</v>
      </c>
      <c r="C112" t="s">
        <v>686</v>
      </c>
      <c r="D112">
        <v>11446</v>
      </c>
      <c r="E112" t="s">
        <v>27</v>
      </c>
      <c r="F112" t="s">
        <v>68</v>
      </c>
      <c r="H112" t="s">
        <v>15</v>
      </c>
      <c r="I112" t="s">
        <v>686</v>
      </c>
    </row>
    <row r="113" spans="1:9" x14ac:dyDescent="0.25">
      <c r="A113" t="s">
        <v>157</v>
      </c>
      <c r="B113" t="s">
        <v>158</v>
      </c>
      <c r="C113" t="s">
        <v>681</v>
      </c>
      <c r="D113">
        <v>11794</v>
      </c>
      <c r="E113" t="s">
        <v>12</v>
      </c>
      <c r="F113" t="s">
        <v>68</v>
      </c>
      <c r="H113" t="s">
        <v>15</v>
      </c>
      <c r="I113" t="s">
        <v>681</v>
      </c>
    </row>
    <row r="114" spans="1:9" x14ac:dyDescent="0.25">
      <c r="A114" t="s">
        <v>159</v>
      </c>
      <c r="B114" t="s">
        <v>158</v>
      </c>
      <c r="C114" t="s">
        <v>681</v>
      </c>
      <c r="D114">
        <v>11794</v>
      </c>
      <c r="E114" t="s">
        <v>12</v>
      </c>
      <c r="F114" t="s">
        <v>68</v>
      </c>
      <c r="H114" t="s">
        <v>15</v>
      </c>
      <c r="I114" t="s">
        <v>681</v>
      </c>
    </row>
    <row r="115" spans="1:9" x14ac:dyDescent="0.25">
      <c r="A115" t="s">
        <v>160</v>
      </c>
      <c r="B115" t="s">
        <v>161</v>
      </c>
      <c r="C115" t="s">
        <v>681</v>
      </c>
      <c r="D115">
        <v>11511</v>
      </c>
      <c r="E115" t="s">
        <v>27</v>
      </c>
      <c r="F115" t="s">
        <v>68</v>
      </c>
      <c r="H115" t="s">
        <v>113</v>
      </c>
      <c r="I115" t="s">
        <v>681</v>
      </c>
    </row>
    <row r="116" spans="1:9" x14ac:dyDescent="0.25">
      <c r="A116" t="s">
        <v>162</v>
      </c>
      <c r="B116" t="s">
        <v>161</v>
      </c>
      <c r="C116" t="s">
        <v>681</v>
      </c>
      <c r="D116">
        <v>11494</v>
      </c>
      <c r="E116" t="s">
        <v>27</v>
      </c>
      <c r="F116" t="s">
        <v>68</v>
      </c>
      <c r="H116" t="s">
        <v>113</v>
      </c>
      <c r="I116" t="s">
        <v>681</v>
      </c>
    </row>
    <row r="117" spans="1:9" x14ac:dyDescent="0.25">
      <c r="A117" t="s">
        <v>163</v>
      </c>
      <c r="B117" t="s">
        <v>161</v>
      </c>
      <c r="C117" t="s">
        <v>681</v>
      </c>
      <c r="D117">
        <v>11457</v>
      </c>
      <c r="E117" t="s">
        <v>12</v>
      </c>
      <c r="F117" t="s">
        <v>68</v>
      </c>
      <c r="H117" t="s">
        <v>113</v>
      </c>
      <c r="I117" t="s">
        <v>681</v>
      </c>
    </row>
    <row r="118" spans="1:9" x14ac:dyDescent="0.25">
      <c r="A118" t="s">
        <v>164</v>
      </c>
      <c r="B118" t="s">
        <v>161</v>
      </c>
      <c r="C118" t="s">
        <v>681</v>
      </c>
      <c r="D118">
        <v>11451</v>
      </c>
      <c r="E118" t="s">
        <v>27</v>
      </c>
      <c r="F118" t="s">
        <v>68</v>
      </c>
      <c r="H118" t="s">
        <v>113</v>
      </c>
      <c r="I118" t="s">
        <v>681</v>
      </c>
    </row>
    <row r="119" spans="1:9" x14ac:dyDescent="0.25">
      <c r="A119" t="s">
        <v>165</v>
      </c>
      <c r="B119" t="s">
        <v>166</v>
      </c>
      <c r="C119" t="s">
        <v>681</v>
      </c>
      <c r="D119">
        <v>11449</v>
      </c>
      <c r="E119" t="s">
        <v>27</v>
      </c>
      <c r="F119" t="s">
        <v>68</v>
      </c>
      <c r="H119" t="s">
        <v>15</v>
      </c>
      <c r="I119" t="s">
        <v>681</v>
      </c>
    </row>
    <row r="120" spans="1:9" x14ac:dyDescent="0.25">
      <c r="A120" t="s">
        <v>167</v>
      </c>
      <c r="B120" t="s">
        <v>168</v>
      </c>
      <c r="C120" t="s">
        <v>681</v>
      </c>
      <c r="D120">
        <v>11424</v>
      </c>
      <c r="E120" t="s">
        <v>12</v>
      </c>
      <c r="F120" t="s">
        <v>68</v>
      </c>
      <c r="H120" t="s">
        <v>15</v>
      </c>
      <c r="I120" t="s">
        <v>681</v>
      </c>
    </row>
    <row r="121" spans="1:9" x14ac:dyDescent="0.25">
      <c r="A121" t="s">
        <v>169</v>
      </c>
      <c r="B121" t="s">
        <v>161</v>
      </c>
      <c r="C121" t="s">
        <v>675</v>
      </c>
      <c r="D121">
        <v>11817</v>
      </c>
      <c r="E121" t="s">
        <v>12</v>
      </c>
      <c r="F121" t="s">
        <v>68</v>
      </c>
      <c r="H121" t="s">
        <v>113</v>
      </c>
      <c r="I121" t="s">
        <v>675</v>
      </c>
    </row>
    <row r="122" spans="1:9" x14ac:dyDescent="0.25">
      <c r="A122" t="s">
        <v>170</v>
      </c>
      <c r="B122" t="s">
        <v>161</v>
      </c>
      <c r="C122" t="s">
        <v>675</v>
      </c>
      <c r="D122">
        <v>11775</v>
      </c>
      <c r="E122" t="s">
        <v>27</v>
      </c>
      <c r="F122" t="s">
        <v>68</v>
      </c>
      <c r="H122" t="s">
        <v>113</v>
      </c>
      <c r="I122" t="s">
        <v>675</v>
      </c>
    </row>
    <row r="123" spans="1:9" x14ac:dyDescent="0.25">
      <c r="A123" t="s">
        <v>171</v>
      </c>
      <c r="B123" t="s">
        <v>161</v>
      </c>
      <c r="C123" t="s">
        <v>675</v>
      </c>
      <c r="D123">
        <v>11654</v>
      </c>
      <c r="E123" t="s">
        <v>12</v>
      </c>
      <c r="F123" t="s">
        <v>68</v>
      </c>
      <c r="H123" t="s">
        <v>113</v>
      </c>
      <c r="I123" t="s">
        <v>675</v>
      </c>
    </row>
    <row r="124" spans="1:9" x14ac:dyDescent="0.25">
      <c r="A124" t="s">
        <v>172</v>
      </c>
      <c r="B124" t="s">
        <v>50</v>
      </c>
      <c r="C124" t="s">
        <v>675</v>
      </c>
      <c r="D124">
        <v>11572</v>
      </c>
      <c r="E124" t="s">
        <v>173</v>
      </c>
      <c r="F124" t="s">
        <v>68</v>
      </c>
      <c r="H124" t="s">
        <v>15</v>
      </c>
      <c r="I124" t="s">
        <v>675</v>
      </c>
    </row>
    <row r="125" spans="1:9" x14ac:dyDescent="0.25">
      <c r="A125" t="s">
        <v>174</v>
      </c>
      <c r="B125" t="s">
        <v>168</v>
      </c>
      <c r="C125" t="s">
        <v>675</v>
      </c>
      <c r="D125">
        <v>11496</v>
      </c>
      <c r="E125" t="s">
        <v>27</v>
      </c>
      <c r="F125" t="s">
        <v>68</v>
      </c>
      <c r="H125" t="s">
        <v>15</v>
      </c>
      <c r="I125" t="s">
        <v>675</v>
      </c>
    </row>
    <row r="126" spans="1:9" x14ac:dyDescent="0.25">
      <c r="A126" t="s">
        <v>175</v>
      </c>
      <c r="B126" t="s">
        <v>66</v>
      </c>
      <c r="C126" t="s">
        <v>675</v>
      </c>
      <c r="D126">
        <v>11489</v>
      </c>
      <c r="E126" t="s">
        <v>12</v>
      </c>
      <c r="F126" t="s">
        <v>68</v>
      </c>
      <c r="H126" t="s">
        <v>15</v>
      </c>
      <c r="I126" t="s">
        <v>675</v>
      </c>
    </row>
    <row r="127" spans="1:9" x14ac:dyDescent="0.25">
      <c r="A127" t="s">
        <v>176</v>
      </c>
      <c r="B127" t="s">
        <v>177</v>
      </c>
      <c r="C127" t="s">
        <v>675</v>
      </c>
      <c r="D127">
        <v>11423</v>
      </c>
      <c r="E127" t="s">
        <v>12</v>
      </c>
      <c r="F127" t="s">
        <v>68</v>
      </c>
      <c r="H127" t="s">
        <v>15</v>
      </c>
      <c r="I127" t="s">
        <v>675</v>
      </c>
    </row>
    <row r="128" spans="1:9" x14ac:dyDescent="0.25">
      <c r="A128" t="s">
        <v>178</v>
      </c>
      <c r="B128" t="s">
        <v>177</v>
      </c>
      <c r="C128" t="s">
        <v>675</v>
      </c>
      <c r="D128">
        <v>11423</v>
      </c>
      <c r="E128" t="s">
        <v>12</v>
      </c>
      <c r="F128" t="s">
        <v>68</v>
      </c>
      <c r="H128" t="s">
        <v>15</v>
      </c>
      <c r="I128" t="s">
        <v>675</v>
      </c>
    </row>
    <row r="129" spans="1:9" x14ac:dyDescent="0.25">
      <c r="A129" t="s">
        <v>179</v>
      </c>
      <c r="B129" t="s">
        <v>180</v>
      </c>
      <c r="C129" t="s">
        <v>675</v>
      </c>
      <c r="D129">
        <v>11349</v>
      </c>
      <c r="E129" t="s">
        <v>12</v>
      </c>
      <c r="F129" t="s">
        <v>68</v>
      </c>
      <c r="H129" t="s">
        <v>15</v>
      </c>
      <c r="I129" t="s">
        <v>675</v>
      </c>
    </row>
    <row r="130" spans="1:9" x14ac:dyDescent="0.25">
      <c r="A130" t="s">
        <v>181</v>
      </c>
      <c r="B130" t="s">
        <v>180</v>
      </c>
      <c r="C130" t="s">
        <v>675</v>
      </c>
      <c r="D130">
        <v>11309</v>
      </c>
      <c r="E130" t="s">
        <v>12</v>
      </c>
      <c r="F130" t="s">
        <v>68</v>
      </c>
      <c r="H130" t="s">
        <v>15</v>
      </c>
      <c r="I130" t="s">
        <v>675</v>
      </c>
    </row>
    <row r="131" spans="1:9" x14ac:dyDescent="0.25">
      <c r="A131" t="s">
        <v>182</v>
      </c>
      <c r="B131" t="s">
        <v>180</v>
      </c>
      <c r="C131" t="s">
        <v>675</v>
      </c>
      <c r="D131">
        <v>11305</v>
      </c>
      <c r="E131" t="s">
        <v>12</v>
      </c>
      <c r="F131" t="s">
        <v>68</v>
      </c>
      <c r="H131" t="s">
        <v>15</v>
      </c>
      <c r="I131" t="s">
        <v>675</v>
      </c>
    </row>
    <row r="132" spans="1:9" x14ac:dyDescent="0.25">
      <c r="A132" t="s">
        <v>183</v>
      </c>
      <c r="B132" t="s">
        <v>168</v>
      </c>
      <c r="C132" t="s">
        <v>679</v>
      </c>
      <c r="D132">
        <v>1047</v>
      </c>
      <c r="E132" t="s">
        <v>12</v>
      </c>
      <c r="F132" t="s">
        <v>68</v>
      </c>
      <c r="H132" t="s">
        <v>15</v>
      </c>
      <c r="I132" t="s">
        <v>679</v>
      </c>
    </row>
    <row r="133" spans="1:9" x14ac:dyDescent="0.25">
      <c r="A133" t="s">
        <v>184</v>
      </c>
      <c r="B133" t="s">
        <v>168</v>
      </c>
      <c r="C133" t="s">
        <v>679</v>
      </c>
      <c r="D133">
        <v>11373</v>
      </c>
      <c r="E133" t="s">
        <v>12</v>
      </c>
      <c r="F133" t="s">
        <v>68</v>
      </c>
      <c r="H133" t="s">
        <v>15</v>
      </c>
      <c r="I133" t="s">
        <v>679</v>
      </c>
    </row>
    <row r="134" spans="1:9" x14ac:dyDescent="0.25">
      <c r="A134" t="s">
        <v>185</v>
      </c>
      <c r="B134" t="s">
        <v>168</v>
      </c>
      <c r="C134" t="s">
        <v>676</v>
      </c>
      <c r="D134">
        <v>11798</v>
      </c>
      <c r="E134" t="s">
        <v>27</v>
      </c>
      <c r="F134" t="s">
        <v>68</v>
      </c>
      <c r="H134" t="s">
        <v>15</v>
      </c>
      <c r="I134" t="s">
        <v>676</v>
      </c>
    </row>
    <row r="135" spans="1:9" x14ac:dyDescent="0.25">
      <c r="A135" t="s">
        <v>186</v>
      </c>
      <c r="B135" t="s">
        <v>166</v>
      </c>
      <c r="C135" t="s">
        <v>676</v>
      </c>
      <c r="D135">
        <v>11769</v>
      </c>
      <c r="E135" t="s">
        <v>12</v>
      </c>
      <c r="F135" t="s">
        <v>68</v>
      </c>
      <c r="H135" t="s">
        <v>15</v>
      </c>
      <c r="I135" t="s">
        <v>676</v>
      </c>
    </row>
    <row r="136" spans="1:9" x14ac:dyDescent="0.25">
      <c r="A136" t="s">
        <v>187</v>
      </c>
      <c r="B136" t="s">
        <v>60</v>
      </c>
      <c r="C136" t="s">
        <v>26</v>
      </c>
      <c r="D136">
        <v>11814</v>
      </c>
      <c r="E136" t="s">
        <v>27</v>
      </c>
      <c r="F136" t="s">
        <v>188</v>
      </c>
      <c r="G136" t="s">
        <v>14</v>
      </c>
      <c r="H136" t="s">
        <v>15</v>
      </c>
      <c r="I136" t="s">
        <v>671</v>
      </c>
    </row>
    <row r="137" spans="1:9" x14ac:dyDescent="0.25">
      <c r="A137" t="s">
        <v>189</v>
      </c>
      <c r="B137" t="s">
        <v>60</v>
      </c>
      <c r="C137" t="s">
        <v>26</v>
      </c>
      <c r="D137">
        <v>11815</v>
      </c>
      <c r="E137" t="s">
        <v>12</v>
      </c>
      <c r="F137" t="s">
        <v>188</v>
      </c>
      <c r="H137" t="s">
        <v>15</v>
      </c>
      <c r="I137" t="s">
        <v>671</v>
      </c>
    </row>
    <row r="138" spans="1:9" x14ac:dyDescent="0.25">
      <c r="A138" t="s">
        <v>190</v>
      </c>
      <c r="B138" t="s">
        <v>60</v>
      </c>
      <c r="C138" t="s">
        <v>672</v>
      </c>
      <c r="D138">
        <v>11820</v>
      </c>
      <c r="E138" t="s">
        <v>12</v>
      </c>
      <c r="F138" t="s">
        <v>188</v>
      </c>
      <c r="G138" t="s">
        <v>14</v>
      </c>
      <c r="H138" t="s">
        <v>15</v>
      </c>
      <c r="I138" t="s">
        <v>672</v>
      </c>
    </row>
    <row r="139" spans="1:9" x14ac:dyDescent="0.25">
      <c r="A139" t="s">
        <v>191</v>
      </c>
      <c r="B139" t="s">
        <v>60</v>
      </c>
      <c r="C139" t="s">
        <v>26</v>
      </c>
      <c r="D139">
        <v>11828</v>
      </c>
      <c r="E139" t="s">
        <v>12</v>
      </c>
      <c r="F139" t="s">
        <v>188</v>
      </c>
      <c r="H139" t="s">
        <v>15</v>
      </c>
      <c r="I139" t="s">
        <v>671</v>
      </c>
    </row>
    <row r="140" spans="1:9" x14ac:dyDescent="0.25">
      <c r="A140" t="s">
        <v>192</v>
      </c>
      <c r="B140" t="s">
        <v>112</v>
      </c>
      <c r="C140" t="s">
        <v>26</v>
      </c>
      <c r="D140">
        <v>11829</v>
      </c>
      <c r="E140" t="s">
        <v>27</v>
      </c>
      <c r="F140" t="s">
        <v>188</v>
      </c>
      <c r="H140" t="s">
        <v>15</v>
      </c>
      <c r="I140" t="s">
        <v>671</v>
      </c>
    </row>
    <row r="141" spans="1:9" x14ac:dyDescent="0.25">
      <c r="A141" t="s">
        <v>193</v>
      </c>
      <c r="B141" t="s">
        <v>112</v>
      </c>
      <c r="C141" t="s">
        <v>26</v>
      </c>
      <c r="D141">
        <v>11831</v>
      </c>
      <c r="E141" t="s">
        <v>27</v>
      </c>
      <c r="F141" t="s">
        <v>188</v>
      </c>
      <c r="H141" t="s">
        <v>15</v>
      </c>
      <c r="I141" t="s">
        <v>671</v>
      </c>
    </row>
    <row r="142" spans="1:9" x14ac:dyDescent="0.25">
      <c r="A142" t="s">
        <v>194</v>
      </c>
      <c r="B142" t="s">
        <v>112</v>
      </c>
      <c r="C142" t="s">
        <v>26</v>
      </c>
      <c r="D142">
        <v>11858</v>
      </c>
      <c r="E142" t="s">
        <v>27</v>
      </c>
      <c r="F142" t="s">
        <v>188</v>
      </c>
      <c r="H142" t="s">
        <v>15</v>
      </c>
      <c r="I142" t="s">
        <v>671</v>
      </c>
    </row>
    <row r="143" spans="1:9" x14ac:dyDescent="0.25">
      <c r="A143" t="s">
        <v>195</v>
      </c>
      <c r="B143" t="s">
        <v>112</v>
      </c>
      <c r="C143" t="s">
        <v>26</v>
      </c>
      <c r="D143">
        <v>11865</v>
      </c>
      <c r="E143" t="s">
        <v>27</v>
      </c>
      <c r="F143" t="s">
        <v>188</v>
      </c>
      <c r="H143" t="s">
        <v>15</v>
      </c>
      <c r="I143" t="s">
        <v>671</v>
      </c>
    </row>
    <row r="144" spans="1:9" x14ac:dyDescent="0.25">
      <c r="A144" t="s">
        <v>196</v>
      </c>
      <c r="B144" t="s">
        <v>112</v>
      </c>
      <c r="C144" t="s">
        <v>26</v>
      </c>
      <c r="D144">
        <v>11871</v>
      </c>
      <c r="E144" t="s">
        <v>12</v>
      </c>
      <c r="F144" t="s">
        <v>188</v>
      </c>
      <c r="H144" t="s">
        <v>113</v>
      </c>
      <c r="I144" t="s">
        <v>671</v>
      </c>
    </row>
    <row r="145" spans="1:9" x14ac:dyDescent="0.25">
      <c r="A145" t="s">
        <v>197</v>
      </c>
      <c r="B145" t="s">
        <v>112</v>
      </c>
      <c r="C145" t="s">
        <v>26</v>
      </c>
      <c r="D145">
        <v>11878</v>
      </c>
      <c r="E145" t="s">
        <v>12</v>
      </c>
      <c r="F145" t="s">
        <v>188</v>
      </c>
      <c r="G145" t="s">
        <v>14</v>
      </c>
      <c r="H145" t="s">
        <v>113</v>
      </c>
      <c r="I145" t="s">
        <v>671</v>
      </c>
    </row>
    <row r="146" spans="1:9" x14ac:dyDescent="0.25">
      <c r="A146" t="s">
        <v>198</v>
      </c>
      <c r="B146" t="s">
        <v>112</v>
      </c>
      <c r="C146" t="s">
        <v>11</v>
      </c>
      <c r="D146">
        <v>11823</v>
      </c>
      <c r="E146" t="s">
        <v>27</v>
      </c>
      <c r="F146" t="s">
        <v>188</v>
      </c>
      <c r="H146" t="s">
        <v>113</v>
      </c>
      <c r="I146" t="s">
        <v>671</v>
      </c>
    </row>
    <row r="147" spans="1:9" x14ac:dyDescent="0.25">
      <c r="A147" t="s">
        <v>199</v>
      </c>
      <c r="B147" t="s">
        <v>112</v>
      </c>
      <c r="C147" t="s">
        <v>11</v>
      </c>
      <c r="D147">
        <v>11826</v>
      </c>
      <c r="E147" t="s">
        <v>12</v>
      </c>
      <c r="F147" t="s">
        <v>188</v>
      </c>
      <c r="H147" t="s">
        <v>113</v>
      </c>
      <c r="I147" t="s">
        <v>671</v>
      </c>
    </row>
    <row r="148" spans="1:9" x14ac:dyDescent="0.25">
      <c r="A148" t="s">
        <v>200</v>
      </c>
      <c r="B148" t="s">
        <v>112</v>
      </c>
      <c r="C148" t="s">
        <v>11</v>
      </c>
      <c r="D148">
        <v>11827</v>
      </c>
      <c r="E148" t="s">
        <v>12</v>
      </c>
      <c r="F148" t="s">
        <v>188</v>
      </c>
      <c r="H148" t="s">
        <v>113</v>
      </c>
      <c r="I148" t="s">
        <v>671</v>
      </c>
    </row>
    <row r="149" spans="1:9" x14ac:dyDescent="0.25">
      <c r="A149" t="s">
        <v>201</v>
      </c>
      <c r="B149" t="s">
        <v>112</v>
      </c>
      <c r="C149" t="s">
        <v>11</v>
      </c>
      <c r="D149">
        <v>11846</v>
      </c>
      <c r="E149" t="s">
        <v>12</v>
      </c>
      <c r="F149" t="s">
        <v>188</v>
      </c>
      <c r="H149" t="s">
        <v>113</v>
      </c>
      <c r="I149" t="s">
        <v>671</v>
      </c>
    </row>
    <row r="150" spans="1:9" x14ac:dyDescent="0.25">
      <c r="A150" t="s">
        <v>202</v>
      </c>
      <c r="B150" t="s">
        <v>112</v>
      </c>
      <c r="C150" t="s">
        <v>11</v>
      </c>
      <c r="D150">
        <v>11884</v>
      </c>
      <c r="E150" t="s">
        <v>12</v>
      </c>
      <c r="F150" t="s">
        <v>188</v>
      </c>
      <c r="H150" t="s">
        <v>113</v>
      </c>
      <c r="I150" t="s">
        <v>671</v>
      </c>
    </row>
    <row r="151" spans="1:9" x14ac:dyDescent="0.25">
      <c r="A151" t="s">
        <v>203</v>
      </c>
      <c r="B151" t="s">
        <v>112</v>
      </c>
      <c r="C151" t="s">
        <v>11</v>
      </c>
      <c r="D151">
        <v>11918</v>
      </c>
      <c r="E151" t="s">
        <v>12</v>
      </c>
      <c r="F151" t="s">
        <v>188</v>
      </c>
      <c r="H151" t="s">
        <v>113</v>
      </c>
      <c r="I151" t="s">
        <v>671</v>
      </c>
    </row>
    <row r="152" spans="1:9" x14ac:dyDescent="0.25">
      <c r="A152" t="s">
        <v>204</v>
      </c>
      <c r="B152" t="s">
        <v>60</v>
      </c>
      <c r="C152" t="s">
        <v>672</v>
      </c>
      <c r="D152">
        <v>11845</v>
      </c>
      <c r="E152" t="s">
        <v>27</v>
      </c>
      <c r="F152" t="s">
        <v>188</v>
      </c>
      <c r="H152" t="s">
        <v>15</v>
      </c>
      <c r="I152" t="s">
        <v>672</v>
      </c>
    </row>
    <row r="153" spans="1:9" x14ac:dyDescent="0.25">
      <c r="A153" t="s">
        <v>205</v>
      </c>
      <c r="B153" t="s">
        <v>60</v>
      </c>
      <c r="C153" t="s">
        <v>672</v>
      </c>
      <c r="D153">
        <v>11851</v>
      </c>
      <c r="E153" t="s">
        <v>12</v>
      </c>
      <c r="F153" t="s">
        <v>188</v>
      </c>
      <c r="H153" t="s">
        <v>15</v>
      </c>
      <c r="I153" t="s">
        <v>672</v>
      </c>
    </row>
    <row r="154" spans="1:9" x14ac:dyDescent="0.25">
      <c r="A154" t="s">
        <v>206</v>
      </c>
      <c r="B154" t="s">
        <v>60</v>
      </c>
      <c r="C154" t="s">
        <v>672</v>
      </c>
      <c r="D154">
        <v>11873</v>
      </c>
      <c r="E154" t="s">
        <v>12</v>
      </c>
      <c r="F154" t="s">
        <v>188</v>
      </c>
      <c r="H154" t="s">
        <v>15</v>
      </c>
      <c r="I154" t="s">
        <v>672</v>
      </c>
    </row>
    <row r="155" spans="1:9" x14ac:dyDescent="0.25">
      <c r="A155" t="s">
        <v>207</v>
      </c>
      <c r="B155" t="s">
        <v>66</v>
      </c>
      <c r="C155" t="s">
        <v>672</v>
      </c>
      <c r="D155">
        <v>11912</v>
      </c>
      <c r="E155" t="s">
        <v>27</v>
      </c>
      <c r="F155" t="s">
        <v>188</v>
      </c>
      <c r="H155" t="s">
        <v>15</v>
      </c>
      <c r="I155" t="s">
        <v>672</v>
      </c>
    </row>
    <row r="156" spans="1:9" x14ac:dyDescent="0.25">
      <c r="A156" t="s">
        <v>208</v>
      </c>
      <c r="B156" t="s">
        <v>144</v>
      </c>
      <c r="C156" t="s">
        <v>673</v>
      </c>
      <c r="D156">
        <v>11832</v>
      </c>
      <c r="E156" t="s">
        <v>12</v>
      </c>
      <c r="F156" t="s">
        <v>188</v>
      </c>
      <c r="H156" t="s">
        <v>15</v>
      </c>
      <c r="I156" t="s">
        <v>671</v>
      </c>
    </row>
    <row r="157" spans="1:9" x14ac:dyDescent="0.25">
      <c r="A157" t="s">
        <v>209</v>
      </c>
      <c r="B157" t="s">
        <v>144</v>
      </c>
      <c r="C157" t="s">
        <v>673</v>
      </c>
      <c r="D157">
        <v>11830</v>
      </c>
      <c r="E157" t="s">
        <v>12</v>
      </c>
      <c r="F157" t="s">
        <v>188</v>
      </c>
      <c r="H157" t="s">
        <v>15</v>
      </c>
      <c r="I157" t="s">
        <v>671</v>
      </c>
    </row>
    <row r="158" spans="1:9" x14ac:dyDescent="0.25">
      <c r="A158" t="s">
        <v>210</v>
      </c>
      <c r="B158" t="s">
        <v>144</v>
      </c>
      <c r="C158" t="s">
        <v>674</v>
      </c>
      <c r="D158">
        <v>11907</v>
      </c>
      <c r="E158" t="s">
        <v>12</v>
      </c>
      <c r="F158" t="s">
        <v>188</v>
      </c>
      <c r="G158" t="s">
        <v>14</v>
      </c>
      <c r="H158" t="s">
        <v>15</v>
      </c>
      <c r="I158" t="s">
        <v>674</v>
      </c>
    </row>
    <row r="159" spans="1:9" x14ac:dyDescent="0.25">
      <c r="A159" t="s">
        <v>211</v>
      </c>
      <c r="B159" t="s">
        <v>166</v>
      </c>
      <c r="C159" t="s">
        <v>675</v>
      </c>
      <c r="D159">
        <v>1923</v>
      </c>
      <c r="E159" t="s">
        <v>12</v>
      </c>
      <c r="F159" t="s">
        <v>188</v>
      </c>
      <c r="H159" t="s">
        <v>15</v>
      </c>
      <c r="I159" t="s">
        <v>675</v>
      </c>
    </row>
    <row r="160" spans="1:9" x14ac:dyDescent="0.25">
      <c r="A160" t="s">
        <v>212</v>
      </c>
      <c r="B160" t="s">
        <v>180</v>
      </c>
      <c r="C160" t="s">
        <v>675</v>
      </c>
      <c r="D160">
        <v>11947</v>
      </c>
      <c r="E160" t="s">
        <v>12</v>
      </c>
      <c r="F160" t="s">
        <v>188</v>
      </c>
      <c r="H160" t="s">
        <v>15</v>
      </c>
      <c r="I160" t="s">
        <v>675</v>
      </c>
    </row>
    <row r="161" spans="1:9" x14ac:dyDescent="0.25">
      <c r="A161" t="s">
        <v>213</v>
      </c>
      <c r="B161" t="s">
        <v>180</v>
      </c>
      <c r="C161" t="s">
        <v>679</v>
      </c>
      <c r="D161">
        <v>11854</v>
      </c>
      <c r="E161" t="s">
        <v>27</v>
      </c>
      <c r="F161" t="s">
        <v>188</v>
      </c>
      <c r="H161" t="s">
        <v>113</v>
      </c>
      <c r="I161" t="s">
        <v>679</v>
      </c>
    </row>
    <row r="162" spans="1:9" x14ac:dyDescent="0.25">
      <c r="A162" t="s">
        <v>214</v>
      </c>
      <c r="B162" t="s">
        <v>168</v>
      </c>
      <c r="C162" t="s">
        <v>679</v>
      </c>
      <c r="D162">
        <v>11834</v>
      </c>
      <c r="E162" t="s">
        <v>27</v>
      </c>
      <c r="F162" t="s">
        <v>188</v>
      </c>
      <c r="H162" t="s">
        <v>15</v>
      </c>
      <c r="I162" t="s">
        <v>679</v>
      </c>
    </row>
    <row r="163" spans="1:9" x14ac:dyDescent="0.25">
      <c r="A163" t="s">
        <v>215</v>
      </c>
      <c r="B163" t="s">
        <v>168</v>
      </c>
      <c r="C163" t="s">
        <v>679</v>
      </c>
      <c r="D163">
        <v>1102</v>
      </c>
      <c r="E163" t="s">
        <v>12</v>
      </c>
      <c r="F163" t="s">
        <v>188</v>
      </c>
      <c r="H163" t="s">
        <v>15</v>
      </c>
      <c r="I163" t="s">
        <v>679</v>
      </c>
    </row>
    <row r="164" spans="1:9" x14ac:dyDescent="0.25">
      <c r="A164" t="s">
        <v>216</v>
      </c>
      <c r="B164" t="s">
        <v>168</v>
      </c>
      <c r="C164" t="s">
        <v>679</v>
      </c>
      <c r="D164">
        <v>11885</v>
      </c>
      <c r="E164" t="s">
        <v>27</v>
      </c>
      <c r="F164" t="s">
        <v>188</v>
      </c>
      <c r="H164" t="s">
        <v>15</v>
      </c>
      <c r="I164" t="s">
        <v>679</v>
      </c>
    </row>
    <row r="165" spans="1:9" x14ac:dyDescent="0.25">
      <c r="A165" t="s">
        <v>217</v>
      </c>
      <c r="B165" t="s">
        <v>168</v>
      </c>
      <c r="C165" t="s">
        <v>676</v>
      </c>
      <c r="D165">
        <v>11602</v>
      </c>
      <c r="E165" t="s">
        <v>27</v>
      </c>
      <c r="F165" t="s">
        <v>188</v>
      </c>
      <c r="H165" t="s">
        <v>15</v>
      </c>
      <c r="I165" t="s">
        <v>676</v>
      </c>
    </row>
    <row r="166" spans="1:9" x14ac:dyDescent="0.25">
      <c r="A166" t="s">
        <v>218</v>
      </c>
      <c r="B166" t="s">
        <v>37</v>
      </c>
      <c r="C166" t="s">
        <v>676</v>
      </c>
      <c r="D166">
        <v>11833</v>
      </c>
      <c r="E166" t="s">
        <v>12</v>
      </c>
      <c r="F166" t="s">
        <v>188</v>
      </c>
      <c r="H166" t="s">
        <v>15</v>
      </c>
      <c r="I166" t="s">
        <v>676</v>
      </c>
    </row>
    <row r="167" spans="1:9" x14ac:dyDescent="0.25">
      <c r="A167" t="s">
        <v>219</v>
      </c>
      <c r="B167" t="s">
        <v>166</v>
      </c>
      <c r="C167" t="s">
        <v>676</v>
      </c>
      <c r="D167">
        <v>11930</v>
      </c>
      <c r="E167" t="s">
        <v>12</v>
      </c>
      <c r="F167" t="s">
        <v>188</v>
      </c>
      <c r="H167" t="s">
        <v>15</v>
      </c>
      <c r="I167" t="s">
        <v>676</v>
      </c>
    </row>
    <row r="168" spans="1:9" x14ac:dyDescent="0.25">
      <c r="A168" t="s">
        <v>220</v>
      </c>
      <c r="B168" t="s">
        <v>166</v>
      </c>
      <c r="C168" t="s">
        <v>676</v>
      </c>
      <c r="D168">
        <v>11942</v>
      </c>
      <c r="E168" t="s">
        <v>12</v>
      </c>
      <c r="F168" t="s">
        <v>188</v>
      </c>
      <c r="H168" t="s">
        <v>15</v>
      </c>
      <c r="I168" t="s">
        <v>676</v>
      </c>
    </row>
    <row r="169" spans="1:9" x14ac:dyDescent="0.25">
      <c r="A169" t="s">
        <v>221</v>
      </c>
      <c r="B169" t="s">
        <v>168</v>
      </c>
      <c r="C169" t="s">
        <v>677</v>
      </c>
      <c r="D169">
        <v>1308</v>
      </c>
      <c r="E169" t="s">
        <v>12</v>
      </c>
      <c r="F169" t="s">
        <v>188</v>
      </c>
      <c r="H169" t="s">
        <v>15</v>
      </c>
      <c r="I169" t="s">
        <v>677</v>
      </c>
    </row>
    <row r="170" spans="1:9" x14ac:dyDescent="0.25">
      <c r="A170" t="s">
        <v>222</v>
      </c>
      <c r="B170" t="s">
        <v>168</v>
      </c>
      <c r="C170" t="s">
        <v>677</v>
      </c>
      <c r="D170">
        <v>11841</v>
      </c>
      <c r="E170" t="s">
        <v>27</v>
      </c>
      <c r="F170" t="s">
        <v>188</v>
      </c>
      <c r="H170" t="s">
        <v>15</v>
      </c>
      <c r="I170" t="s">
        <v>677</v>
      </c>
    </row>
    <row r="171" spans="1:9" x14ac:dyDescent="0.25">
      <c r="A171" t="s">
        <v>223</v>
      </c>
      <c r="B171" t="s">
        <v>43</v>
      </c>
      <c r="C171" t="s">
        <v>678</v>
      </c>
      <c r="D171">
        <v>11921</v>
      </c>
      <c r="E171" t="s">
        <v>27</v>
      </c>
      <c r="F171" t="s">
        <v>188</v>
      </c>
      <c r="H171" t="s">
        <v>15</v>
      </c>
      <c r="I171" t="s">
        <v>678</v>
      </c>
    </row>
    <row r="172" spans="1:9" x14ac:dyDescent="0.25">
      <c r="A172" t="s">
        <v>224</v>
      </c>
      <c r="B172" t="s">
        <v>10</v>
      </c>
      <c r="C172" t="s">
        <v>11</v>
      </c>
      <c r="D172">
        <v>11826</v>
      </c>
      <c r="E172" t="s">
        <v>12</v>
      </c>
      <c r="F172" t="s">
        <v>225</v>
      </c>
      <c r="G172" t="s">
        <v>17</v>
      </c>
      <c r="H172" t="s">
        <v>15</v>
      </c>
      <c r="I172" t="s">
        <v>671</v>
      </c>
    </row>
    <row r="173" spans="1:9" x14ac:dyDescent="0.25">
      <c r="A173" t="s">
        <v>226</v>
      </c>
      <c r="B173" t="s">
        <v>10</v>
      </c>
      <c r="C173" t="s">
        <v>11</v>
      </c>
      <c r="D173">
        <v>11826</v>
      </c>
      <c r="E173" t="s">
        <v>12</v>
      </c>
      <c r="F173" t="s">
        <v>225</v>
      </c>
      <c r="G173" t="s">
        <v>14</v>
      </c>
      <c r="H173" t="s">
        <v>15</v>
      </c>
      <c r="I173" t="s">
        <v>671</v>
      </c>
    </row>
    <row r="174" spans="1:9" x14ac:dyDescent="0.25">
      <c r="A174" t="s">
        <v>227</v>
      </c>
      <c r="B174" t="s">
        <v>10</v>
      </c>
      <c r="C174" t="s">
        <v>11</v>
      </c>
      <c r="D174">
        <v>11827</v>
      </c>
      <c r="E174" t="s">
        <v>12</v>
      </c>
      <c r="F174" t="s">
        <v>225</v>
      </c>
      <c r="G174" t="s">
        <v>14</v>
      </c>
      <c r="H174" t="s">
        <v>15</v>
      </c>
      <c r="I174" t="s">
        <v>671</v>
      </c>
    </row>
    <row r="175" spans="1:9" x14ac:dyDescent="0.25">
      <c r="A175" t="s">
        <v>228</v>
      </c>
      <c r="B175" t="s">
        <v>20</v>
      </c>
      <c r="C175" t="s">
        <v>11</v>
      </c>
      <c r="D175">
        <v>11827</v>
      </c>
      <c r="E175" t="s">
        <v>12</v>
      </c>
      <c r="F175" t="s">
        <v>225</v>
      </c>
      <c r="G175" t="s">
        <v>17</v>
      </c>
      <c r="H175" t="s">
        <v>15</v>
      </c>
      <c r="I175" t="s">
        <v>671</v>
      </c>
    </row>
    <row r="176" spans="1:9" x14ac:dyDescent="0.25">
      <c r="A176" t="s">
        <v>229</v>
      </c>
      <c r="B176" t="s">
        <v>20</v>
      </c>
      <c r="C176" t="s">
        <v>11</v>
      </c>
      <c r="D176">
        <v>11846</v>
      </c>
      <c r="E176" t="s">
        <v>12</v>
      </c>
      <c r="F176" t="s">
        <v>225</v>
      </c>
      <c r="G176" t="s">
        <v>17</v>
      </c>
      <c r="H176" t="s">
        <v>15</v>
      </c>
      <c r="I176" t="s">
        <v>671</v>
      </c>
    </row>
    <row r="177" spans="1:9" x14ac:dyDescent="0.25">
      <c r="A177" t="s">
        <v>230</v>
      </c>
      <c r="B177" t="s">
        <v>20</v>
      </c>
      <c r="C177" t="s">
        <v>11</v>
      </c>
      <c r="D177">
        <v>11846</v>
      </c>
      <c r="E177" t="s">
        <v>12</v>
      </c>
      <c r="F177" t="s">
        <v>225</v>
      </c>
      <c r="G177" t="s">
        <v>14</v>
      </c>
      <c r="H177" t="s">
        <v>15</v>
      </c>
      <c r="I177" t="s">
        <v>671</v>
      </c>
    </row>
    <row r="178" spans="1:9" x14ac:dyDescent="0.25">
      <c r="A178" t="s">
        <v>231</v>
      </c>
      <c r="B178" t="s">
        <v>20</v>
      </c>
      <c r="C178" t="s">
        <v>11</v>
      </c>
      <c r="D178">
        <v>11918</v>
      </c>
      <c r="E178" t="s">
        <v>12</v>
      </c>
      <c r="F178" t="s">
        <v>225</v>
      </c>
      <c r="G178" t="s">
        <v>17</v>
      </c>
      <c r="H178" t="s">
        <v>15</v>
      </c>
      <c r="I178" t="s">
        <v>671</v>
      </c>
    </row>
    <row r="179" spans="1:9" x14ac:dyDescent="0.25">
      <c r="A179" t="s">
        <v>232</v>
      </c>
      <c r="B179" t="s">
        <v>20</v>
      </c>
      <c r="C179" t="s">
        <v>11</v>
      </c>
      <c r="D179">
        <v>11918</v>
      </c>
      <c r="E179" t="s">
        <v>12</v>
      </c>
      <c r="F179" t="s">
        <v>225</v>
      </c>
      <c r="G179" t="s">
        <v>14</v>
      </c>
      <c r="H179" t="s">
        <v>15</v>
      </c>
      <c r="I179" t="s">
        <v>671</v>
      </c>
    </row>
    <row r="180" spans="1:9" x14ac:dyDescent="0.25">
      <c r="A180" t="s">
        <v>233</v>
      </c>
      <c r="B180" t="s">
        <v>25</v>
      </c>
      <c r="C180" t="s">
        <v>26</v>
      </c>
      <c r="D180">
        <v>11831</v>
      </c>
      <c r="E180" t="s">
        <v>27</v>
      </c>
      <c r="F180" t="s">
        <v>225</v>
      </c>
      <c r="G180" t="s">
        <v>17</v>
      </c>
      <c r="H180" t="s">
        <v>15</v>
      </c>
      <c r="I180" t="s">
        <v>671</v>
      </c>
    </row>
    <row r="181" spans="1:9" x14ac:dyDescent="0.25">
      <c r="A181" t="s">
        <v>234</v>
      </c>
      <c r="B181" t="s">
        <v>25</v>
      </c>
      <c r="C181" t="s">
        <v>26</v>
      </c>
      <c r="D181">
        <v>11831</v>
      </c>
      <c r="E181" t="s">
        <v>27</v>
      </c>
      <c r="F181" t="s">
        <v>225</v>
      </c>
      <c r="G181" t="s">
        <v>14</v>
      </c>
      <c r="H181" t="s">
        <v>15</v>
      </c>
      <c r="I181" t="s">
        <v>671</v>
      </c>
    </row>
    <row r="182" spans="1:9" x14ac:dyDescent="0.25">
      <c r="A182" t="s">
        <v>235</v>
      </c>
      <c r="B182" t="s">
        <v>76</v>
      </c>
      <c r="C182" t="s">
        <v>26</v>
      </c>
      <c r="D182">
        <v>11858</v>
      </c>
      <c r="E182" t="s">
        <v>27</v>
      </c>
      <c r="F182" t="s">
        <v>225</v>
      </c>
      <c r="H182" t="s">
        <v>15</v>
      </c>
      <c r="I182" t="s">
        <v>671</v>
      </c>
    </row>
    <row r="183" spans="1:9" x14ac:dyDescent="0.25">
      <c r="A183" t="s">
        <v>236</v>
      </c>
      <c r="B183" t="s">
        <v>237</v>
      </c>
      <c r="C183" t="s">
        <v>672</v>
      </c>
      <c r="D183">
        <v>11851</v>
      </c>
      <c r="E183" t="s">
        <v>12</v>
      </c>
      <c r="F183" t="s">
        <v>225</v>
      </c>
      <c r="G183" t="s">
        <v>14</v>
      </c>
      <c r="H183" t="s">
        <v>15</v>
      </c>
      <c r="I183" t="s">
        <v>672</v>
      </c>
    </row>
    <row r="184" spans="1:9" x14ac:dyDescent="0.25">
      <c r="A184" t="s">
        <v>238</v>
      </c>
      <c r="B184" t="s">
        <v>237</v>
      </c>
      <c r="C184" t="s">
        <v>672</v>
      </c>
      <c r="D184">
        <v>11851</v>
      </c>
      <c r="E184" t="s">
        <v>12</v>
      </c>
      <c r="F184" t="s">
        <v>225</v>
      </c>
      <c r="G184" t="s">
        <v>14</v>
      </c>
      <c r="H184" t="s">
        <v>15</v>
      </c>
      <c r="I184" t="s">
        <v>672</v>
      </c>
    </row>
    <row r="185" spans="1:9" x14ac:dyDescent="0.25">
      <c r="A185" t="s">
        <v>239</v>
      </c>
      <c r="B185" t="s">
        <v>34</v>
      </c>
      <c r="C185" t="s">
        <v>672</v>
      </c>
      <c r="D185">
        <v>11851</v>
      </c>
      <c r="E185" t="s">
        <v>12</v>
      </c>
      <c r="F185" t="s">
        <v>225</v>
      </c>
      <c r="G185" t="s">
        <v>17</v>
      </c>
      <c r="H185" t="s">
        <v>15</v>
      </c>
      <c r="I185" t="s">
        <v>672</v>
      </c>
    </row>
    <row r="186" spans="1:9" x14ac:dyDescent="0.25">
      <c r="A186" t="s">
        <v>240</v>
      </c>
      <c r="B186" t="s">
        <v>34</v>
      </c>
      <c r="C186" t="s">
        <v>672</v>
      </c>
      <c r="D186">
        <v>11851</v>
      </c>
      <c r="E186" t="s">
        <v>12</v>
      </c>
      <c r="F186" t="s">
        <v>225</v>
      </c>
      <c r="G186" t="s">
        <v>17</v>
      </c>
      <c r="H186" t="s">
        <v>15</v>
      </c>
      <c r="I186" t="s">
        <v>672</v>
      </c>
    </row>
    <row r="187" spans="1:9" x14ac:dyDescent="0.25">
      <c r="A187" t="s">
        <v>241</v>
      </c>
      <c r="B187" t="s">
        <v>34</v>
      </c>
      <c r="C187" t="s">
        <v>672</v>
      </c>
      <c r="D187">
        <v>11851</v>
      </c>
      <c r="E187" t="s">
        <v>12</v>
      </c>
      <c r="F187" t="s">
        <v>225</v>
      </c>
      <c r="G187" t="s">
        <v>14</v>
      </c>
      <c r="H187" t="s">
        <v>15</v>
      </c>
      <c r="I187" t="s">
        <v>672</v>
      </c>
    </row>
    <row r="188" spans="1:9" x14ac:dyDescent="0.25">
      <c r="A188" t="s">
        <v>242</v>
      </c>
      <c r="B188" t="s">
        <v>34</v>
      </c>
      <c r="C188" t="s">
        <v>672</v>
      </c>
      <c r="D188">
        <v>11851</v>
      </c>
      <c r="E188" t="s">
        <v>12</v>
      </c>
      <c r="F188" t="s">
        <v>225</v>
      </c>
      <c r="G188" t="s">
        <v>14</v>
      </c>
      <c r="H188" t="s">
        <v>15</v>
      </c>
      <c r="I188" t="s">
        <v>672</v>
      </c>
    </row>
    <row r="189" spans="1:9" x14ac:dyDescent="0.25">
      <c r="A189" t="s">
        <v>243</v>
      </c>
      <c r="B189" t="s">
        <v>34</v>
      </c>
      <c r="C189" t="s">
        <v>672</v>
      </c>
      <c r="D189">
        <v>11851</v>
      </c>
      <c r="E189" t="s">
        <v>12</v>
      </c>
      <c r="F189" t="s">
        <v>225</v>
      </c>
      <c r="G189" t="s">
        <v>14</v>
      </c>
      <c r="H189" t="s">
        <v>15</v>
      </c>
      <c r="I189" t="s">
        <v>672</v>
      </c>
    </row>
    <row r="190" spans="1:9" x14ac:dyDescent="0.25">
      <c r="A190" t="s">
        <v>244</v>
      </c>
      <c r="B190" t="s">
        <v>245</v>
      </c>
      <c r="C190" t="s">
        <v>673</v>
      </c>
      <c r="D190">
        <v>11832</v>
      </c>
      <c r="E190" t="s">
        <v>12</v>
      </c>
      <c r="F190" t="s">
        <v>225</v>
      </c>
      <c r="G190" t="s">
        <v>14</v>
      </c>
      <c r="H190" t="s">
        <v>15</v>
      </c>
      <c r="I190" t="s">
        <v>671</v>
      </c>
    </row>
    <row r="191" spans="1:9" x14ac:dyDescent="0.25">
      <c r="A191" t="s">
        <v>246</v>
      </c>
      <c r="B191" t="s">
        <v>245</v>
      </c>
      <c r="C191" t="s">
        <v>673</v>
      </c>
      <c r="D191">
        <v>11832</v>
      </c>
      <c r="E191" t="s">
        <v>12</v>
      </c>
      <c r="F191" t="s">
        <v>225</v>
      </c>
      <c r="G191" t="s">
        <v>17</v>
      </c>
      <c r="H191" t="s">
        <v>15</v>
      </c>
      <c r="I191" t="s">
        <v>671</v>
      </c>
    </row>
    <row r="192" spans="1:9" x14ac:dyDescent="0.25">
      <c r="A192" t="s">
        <v>247</v>
      </c>
      <c r="B192" t="s">
        <v>40</v>
      </c>
      <c r="C192" t="s">
        <v>673</v>
      </c>
      <c r="D192">
        <v>11830</v>
      </c>
      <c r="E192" t="s">
        <v>12</v>
      </c>
      <c r="F192" t="s">
        <v>225</v>
      </c>
      <c r="G192" t="s">
        <v>17</v>
      </c>
      <c r="H192" t="s">
        <v>15</v>
      </c>
      <c r="I192" t="s">
        <v>671</v>
      </c>
    </row>
    <row r="193" spans="1:9" x14ac:dyDescent="0.25">
      <c r="A193" t="s">
        <v>248</v>
      </c>
      <c r="B193" t="s">
        <v>249</v>
      </c>
      <c r="C193" t="s">
        <v>11</v>
      </c>
      <c r="D193">
        <v>11920</v>
      </c>
      <c r="E193" t="s">
        <v>27</v>
      </c>
      <c r="F193" t="s">
        <v>225</v>
      </c>
      <c r="G193" t="s">
        <v>17</v>
      </c>
      <c r="H193" t="s">
        <v>15</v>
      </c>
      <c r="I193" t="s">
        <v>671</v>
      </c>
    </row>
    <row r="194" spans="1:9" x14ac:dyDescent="0.25">
      <c r="A194" t="s">
        <v>250</v>
      </c>
      <c r="B194" t="s">
        <v>249</v>
      </c>
      <c r="C194" t="s">
        <v>11</v>
      </c>
      <c r="D194">
        <v>11920</v>
      </c>
      <c r="E194" t="s">
        <v>27</v>
      </c>
      <c r="F194" t="s">
        <v>225</v>
      </c>
      <c r="G194" t="s">
        <v>17</v>
      </c>
      <c r="H194" t="s">
        <v>15</v>
      </c>
      <c r="I194" t="s">
        <v>671</v>
      </c>
    </row>
    <row r="195" spans="1:9" x14ac:dyDescent="0.25">
      <c r="A195" t="s">
        <v>251</v>
      </c>
      <c r="B195" t="s">
        <v>50</v>
      </c>
      <c r="C195" t="s">
        <v>675</v>
      </c>
      <c r="D195">
        <v>11892</v>
      </c>
      <c r="E195" t="s">
        <v>27</v>
      </c>
      <c r="F195" t="s">
        <v>225</v>
      </c>
      <c r="H195" t="s">
        <v>15</v>
      </c>
      <c r="I195" t="s">
        <v>675</v>
      </c>
    </row>
    <row r="196" spans="1:9" x14ac:dyDescent="0.25">
      <c r="A196" t="s">
        <v>252</v>
      </c>
      <c r="B196" t="s">
        <v>53</v>
      </c>
      <c r="C196" t="s">
        <v>676</v>
      </c>
      <c r="D196">
        <v>11656</v>
      </c>
      <c r="E196" t="s">
        <v>12</v>
      </c>
      <c r="F196" t="s">
        <v>225</v>
      </c>
      <c r="G196" t="s">
        <v>17</v>
      </c>
      <c r="H196" t="s">
        <v>15</v>
      </c>
      <c r="I196" t="s">
        <v>676</v>
      </c>
    </row>
    <row r="197" spans="1:9" x14ac:dyDescent="0.25">
      <c r="A197" t="s">
        <v>253</v>
      </c>
      <c r="B197" t="s">
        <v>56</v>
      </c>
      <c r="C197" t="s">
        <v>677</v>
      </c>
      <c r="D197">
        <v>11841</v>
      </c>
      <c r="E197" t="s">
        <v>27</v>
      </c>
      <c r="F197" t="s">
        <v>225</v>
      </c>
      <c r="G197" t="s">
        <v>17</v>
      </c>
      <c r="H197" t="s">
        <v>15</v>
      </c>
      <c r="I197" t="s">
        <v>677</v>
      </c>
    </row>
    <row r="198" spans="1:9" x14ac:dyDescent="0.25">
      <c r="A198" t="s">
        <v>254</v>
      </c>
      <c r="B198" t="s">
        <v>122</v>
      </c>
      <c r="C198" t="s">
        <v>104</v>
      </c>
      <c r="D198">
        <v>11121</v>
      </c>
      <c r="E198" t="s">
        <v>27</v>
      </c>
      <c r="F198" t="s">
        <v>225</v>
      </c>
      <c r="H198" t="s">
        <v>15</v>
      </c>
      <c r="I198" t="s">
        <v>671</v>
      </c>
    </row>
    <row r="199" spans="1:9" x14ac:dyDescent="0.25">
      <c r="A199" t="s">
        <v>255</v>
      </c>
      <c r="B199" t="s">
        <v>43</v>
      </c>
      <c r="C199" t="s">
        <v>674</v>
      </c>
      <c r="D199">
        <v>1107</v>
      </c>
      <c r="E199" t="s">
        <v>173</v>
      </c>
      <c r="F199" t="s">
        <v>225</v>
      </c>
      <c r="G199" t="s">
        <v>14</v>
      </c>
      <c r="H199" t="s">
        <v>15</v>
      </c>
      <c r="I199" t="s">
        <v>674</v>
      </c>
    </row>
    <row r="200" spans="1:9" x14ac:dyDescent="0.25">
      <c r="A200" t="s">
        <v>256</v>
      </c>
      <c r="B200" t="s">
        <v>46</v>
      </c>
      <c r="C200" t="s">
        <v>686</v>
      </c>
      <c r="D200">
        <v>1117</v>
      </c>
      <c r="E200" t="s">
        <v>173</v>
      </c>
      <c r="F200" t="s">
        <v>225</v>
      </c>
      <c r="G200" t="s">
        <v>17</v>
      </c>
      <c r="H200" t="s">
        <v>15</v>
      </c>
      <c r="I200" t="s">
        <v>686</v>
      </c>
    </row>
    <row r="201" spans="1:9" x14ac:dyDescent="0.25">
      <c r="A201" t="s">
        <v>257</v>
      </c>
      <c r="B201" t="s">
        <v>50</v>
      </c>
      <c r="C201" t="s">
        <v>675</v>
      </c>
      <c r="D201">
        <v>1923</v>
      </c>
      <c r="E201" t="s">
        <v>12</v>
      </c>
      <c r="F201" t="s">
        <v>225</v>
      </c>
      <c r="G201" t="s">
        <v>14</v>
      </c>
      <c r="H201" t="s">
        <v>15</v>
      </c>
      <c r="I201" t="s">
        <v>675</v>
      </c>
    </row>
    <row r="202" spans="1:9" x14ac:dyDescent="0.25">
      <c r="A202" t="s">
        <v>258</v>
      </c>
      <c r="B202" t="s">
        <v>50</v>
      </c>
      <c r="C202" t="s">
        <v>675</v>
      </c>
      <c r="D202">
        <v>1923</v>
      </c>
      <c r="E202" t="s">
        <v>12</v>
      </c>
      <c r="F202" t="s">
        <v>225</v>
      </c>
      <c r="G202" t="s">
        <v>17</v>
      </c>
      <c r="H202" t="s">
        <v>15</v>
      </c>
      <c r="I202" t="s">
        <v>675</v>
      </c>
    </row>
    <row r="203" spans="1:9" x14ac:dyDescent="0.25">
      <c r="A203" t="s">
        <v>259</v>
      </c>
      <c r="B203" t="s">
        <v>50</v>
      </c>
      <c r="C203" t="s">
        <v>679</v>
      </c>
      <c r="D203">
        <v>11834</v>
      </c>
      <c r="E203" t="s">
        <v>27</v>
      </c>
      <c r="F203" t="s">
        <v>225</v>
      </c>
      <c r="G203" t="s">
        <v>14</v>
      </c>
      <c r="H203" t="s">
        <v>15</v>
      </c>
      <c r="I203" t="s">
        <v>679</v>
      </c>
    </row>
    <row r="204" spans="1:9" x14ac:dyDescent="0.25">
      <c r="A204" t="s">
        <v>260</v>
      </c>
      <c r="B204" t="s">
        <v>29</v>
      </c>
      <c r="C204" t="s">
        <v>672</v>
      </c>
      <c r="D204">
        <v>11820</v>
      </c>
      <c r="E204" t="s">
        <v>12</v>
      </c>
      <c r="F204" t="s">
        <v>225</v>
      </c>
      <c r="G204" t="s">
        <v>14</v>
      </c>
      <c r="H204" t="s">
        <v>15</v>
      </c>
      <c r="I204" t="s">
        <v>672</v>
      </c>
    </row>
    <row r="205" spans="1:9" x14ac:dyDescent="0.25">
      <c r="A205" t="s">
        <v>261</v>
      </c>
      <c r="B205" t="s">
        <v>29</v>
      </c>
      <c r="C205" t="s">
        <v>672</v>
      </c>
      <c r="D205">
        <v>11820</v>
      </c>
      <c r="E205" t="s">
        <v>12</v>
      </c>
      <c r="F205" t="s">
        <v>225</v>
      </c>
      <c r="G205" t="s">
        <v>17</v>
      </c>
      <c r="H205" t="s">
        <v>15</v>
      </c>
      <c r="I205" t="s">
        <v>672</v>
      </c>
    </row>
    <row r="206" spans="1:9" x14ac:dyDescent="0.25">
      <c r="A206" t="s">
        <v>262</v>
      </c>
      <c r="B206" t="s">
        <v>50</v>
      </c>
      <c r="C206" t="s">
        <v>679</v>
      </c>
      <c r="D206">
        <v>1835</v>
      </c>
      <c r="E206" t="s">
        <v>27</v>
      </c>
      <c r="F206" t="s">
        <v>225</v>
      </c>
      <c r="H206" t="s">
        <v>15</v>
      </c>
      <c r="I206" t="s">
        <v>679</v>
      </c>
    </row>
    <row r="207" spans="1:9" x14ac:dyDescent="0.25">
      <c r="A207" t="s">
        <v>263</v>
      </c>
      <c r="B207" t="s">
        <v>264</v>
      </c>
      <c r="C207" t="s">
        <v>672</v>
      </c>
      <c r="D207">
        <v>11845</v>
      </c>
      <c r="E207" t="s">
        <v>27</v>
      </c>
      <c r="F207" t="s">
        <v>225</v>
      </c>
      <c r="G207" t="s">
        <v>17</v>
      </c>
      <c r="H207" t="s">
        <v>15</v>
      </c>
      <c r="I207" t="s">
        <v>672</v>
      </c>
    </row>
    <row r="208" spans="1:9" x14ac:dyDescent="0.25">
      <c r="A208" t="s">
        <v>265</v>
      </c>
      <c r="B208" t="s">
        <v>237</v>
      </c>
      <c r="C208" t="s">
        <v>672</v>
      </c>
      <c r="D208">
        <v>11845</v>
      </c>
      <c r="E208" t="s">
        <v>27</v>
      </c>
      <c r="F208" t="s">
        <v>225</v>
      </c>
      <c r="G208" t="s">
        <v>14</v>
      </c>
      <c r="H208" t="s">
        <v>15</v>
      </c>
      <c r="I208" t="s">
        <v>672</v>
      </c>
    </row>
    <row r="209" spans="1:9" x14ac:dyDescent="0.25">
      <c r="A209" t="s">
        <v>266</v>
      </c>
      <c r="B209" t="s">
        <v>34</v>
      </c>
      <c r="C209" t="s">
        <v>672</v>
      </c>
      <c r="D209">
        <v>11873</v>
      </c>
      <c r="E209" t="s">
        <v>12</v>
      </c>
      <c r="F209" t="s">
        <v>225</v>
      </c>
      <c r="G209" t="s">
        <v>14</v>
      </c>
      <c r="H209" t="s">
        <v>15</v>
      </c>
      <c r="I209" t="s">
        <v>672</v>
      </c>
    </row>
    <row r="210" spans="1:9" x14ac:dyDescent="0.25">
      <c r="A210" t="s">
        <v>267</v>
      </c>
      <c r="B210" t="s">
        <v>37</v>
      </c>
      <c r="C210" t="s">
        <v>672</v>
      </c>
      <c r="D210">
        <v>11873</v>
      </c>
      <c r="E210" t="s">
        <v>12</v>
      </c>
      <c r="F210" t="s">
        <v>225</v>
      </c>
      <c r="G210" t="s">
        <v>17</v>
      </c>
      <c r="H210" t="s">
        <v>15</v>
      </c>
      <c r="I210" t="s">
        <v>672</v>
      </c>
    </row>
    <row r="211" spans="1:9" x14ac:dyDescent="0.25">
      <c r="A211" t="s">
        <v>268</v>
      </c>
      <c r="B211" t="s">
        <v>46</v>
      </c>
      <c r="C211" t="s">
        <v>674</v>
      </c>
      <c r="D211">
        <v>11907</v>
      </c>
      <c r="E211" t="s">
        <v>12</v>
      </c>
      <c r="F211" t="s">
        <v>225</v>
      </c>
      <c r="G211" t="s">
        <v>14</v>
      </c>
      <c r="H211" t="s">
        <v>15</v>
      </c>
      <c r="I211" t="s">
        <v>674</v>
      </c>
    </row>
    <row r="212" spans="1:9" x14ac:dyDescent="0.25">
      <c r="A212" t="s">
        <v>269</v>
      </c>
      <c r="B212" t="s">
        <v>50</v>
      </c>
      <c r="C212" t="s">
        <v>681</v>
      </c>
      <c r="D212">
        <v>11900</v>
      </c>
      <c r="E212" t="s">
        <v>27</v>
      </c>
      <c r="F212" t="s">
        <v>225</v>
      </c>
      <c r="H212" t="s">
        <v>15</v>
      </c>
      <c r="I212" t="s">
        <v>681</v>
      </c>
    </row>
    <row r="213" spans="1:9" x14ac:dyDescent="0.25">
      <c r="A213" t="s">
        <v>270</v>
      </c>
      <c r="B213" t="s">
        <v>180</v>
      </c>
      <c r="C213" t="s">
        <v>679</v>
      </c>
      <c r="D213">
        <v>11834</v>
      </c>
      <c r="E213" t="s">
        <v>27</v>
      </c>
      <c r="F213" t="s">
        <v>225</v>
      </c>
      <c r="G213" t="s">
        <v>17</v>
      </c>
      <c r="H213" t="s">
        <v>15</v>
      </c>
      <c r="I213" t="s">
        <v>679</v>
      </c>
    </row>
    <row r="214" spans="1:9" x14ac:dyDescent="0.25">
      <c r="A214" t="s">
        <v>271</v>
      </c>
      <c r="B214" t="s">
        <v>180</v>
      </c>
      <c r="C214" t="s">
        <v>679</v>
      </c>
      <c r="D214">
        <v>11885</v>
      </c>
      <c r="E214" t="s">
        <v>27</v>
      </c>
      <c r="F214" t="s">
        <v>225</v>
      </c>
      <c r="G214" t="s">
        <v>17</v>
      </c>
      <c r="H214" t="s">
        <v>15</v>
      </c>
      <c r="I214" t="s">
        <v>679</v>
      </c>
    </row>
    <row r="215" spans="1:9" x14ac:dyDescent="0.25">
      <c r="A215" t="s">
        <v>272</v>
      </c>
      <c r="B215" t="s">
        <v>180</v>
      </c>
      <c r="C215" t="s">
        <v>679</v>
      </c>
      <c r="D215">
        <v>11885</v>
      </c>
      <c r="E215" t="s">
        <v>27</v>
      </c>
      <c r="F215" t="s">
        <v>225</v>
      </c>
      <c r="G215" t="s">
        <v>14</v>
      </c>
      <c r="H215" t="s">
        <v>15</v>
      </c>
      <c r="I215" t="s">
        <v>679</v>
      </c>
    </row>
    <row r="216" spans="1:9" x14ac:dyDescent="0.25">
      <c r="A216" t="s">
        <v>273</v>
      </c>
      <c r="B216" t="s">
        <v>56</v>
      </c>
      <c r="C216" t="s">
        <v>676</v>
      </c>
      <c r="D216">
        <v>11833</v>
      </c>
      <c r="E216" t="s">
        <v>12</v>
      </c>
      <c r="F216" t="s">
        <v>225</v>
      </c>
      <c r="G216" t="s">
        <v>14</v>
      </c>
      <c r="H216" t="s">
        <v>15</v>
      </c>
      <c r="I216" t="s">
        <v>676</v>
      </c>
    </row>
    <row r="217" spans="1:9" x14ac:dyDescent="0.25">
      <c r="A217" t="s">
        <v>274</v>
      </c>
      <c r="B217" t="s">
        <v>37</v>
      </c>
      <c r="C217" t="s">
        <v>676</v>
      </c>
      <c r="D217">
        <v>11930</v>
      </c>
      <c r="E217" t="s">
        <v>12</v>
      </c>
      <c r="F217" t="s">
        <v>225</v>
      </c>
      <c r="G217" t="s">
        <v>14</v>
      </c>
      <c r="H217" t="s">
        <v>15</v>
      </c>
      <c r="I217" t="s">
        <v>676</v>
      </c>
    </row>
    <row r="218" spans="1:9" x14ac:dyDescent="0.25">
      <c r="A218" t="s">
        <v>275</v>
      </c>
      <c r="B218" t="s">
        <v>56</v>
      </c>
      <c r="C218" t="s">
        <v>676</v>
      </c>
      <c r="D218">
        <v>11942</v>
      </c>
      <c r="E218" t="s">
        <v>12</v>
      </c>
      <c r="F218" t="s">
        <v>225</v>
      </c>
      <c r="G218" t="s">
        <v>17</v>
      </c>
      <c r="H218" t="s">
        <v>15</v>
      </c>
      <c r="I218" t="s">
        <v>676</v>
      </c>
    </row>
    <row r="219" spans="1:9" x14ac:dyDescent="0.25">
      <c r="A219" t="s">
        <v>276</v>
      </c>
      <c r="B219" t="s">
        <v>56</v>
      </c>
      <c r="C219" t="s">
        <v>677</v>
      </c>
      <c r="D219">
        <v>11841</v>
      </c>
      <c r="E219" t="s">
        <v>27</v>
      </c>
      <c r="F219" t="s">
        <v>225</v>
      </c>
      <c r="G219" t="s">
        <v>14</v>
      </c>
      <c r="H219" t="s">
        <v>15</v>
      </c>
      <c r="I219" t="s">
        <v>677</v>
      </c>
    </row>
    <row r="220" spans="1:9" x14ac:dyDescent="0.25">
      <c r="A220" t="s">
        <v>277</v>
      </c>
      <c r="B220" t="s">
        <v>56</v>
      </c>
      <c r="C220" t="s">
        <v>678</v>
      </c>
      <c r="D220">
        <v>11921</v>
      </c>
      <c r="E220" t="s">
        <v>27</v>
      </c>
      <c r="F220" t="s">
        <v>225</v>
      </c>
      <c r="G220" t="s">
        <v>17</v>
      </c>
      <c r="H220" t="s">
        <v>15</v>
      </c>
      <c r="I220" t="s">
        <v>678</v>
      </c>
    </row>
    <row r="221" spans="1:9" x14ac:dyDescent="0.25">
      <c r="A221" t="s">
        <v>278</v>
      </c>
      <c r="B221" t="s">
        <v>66</v>
      </c>
      <c r="C221" t="s">
        <v>679</v>
      </c>
      <c r="D221">
        <v>12007</v>
      </c>
      <c r="E221" t="s">
        <v>27</v>
      </c>
      <c r="F221" t="s">
        <v>225</v>
      </c>
      <c r="G221" t="s">
        <v>17</v>
      </c>
      <c r="H221" t="s">
        <v>15</v>
      </c>
      <c r="I221" t="s">
        <v>679</v>
      </c>
    </row>
    <row r="222" spans="1:9" x14ac:dyDescent="0.25">
      <c r="A222" t="s">
        <v>279</v>
      </c>
      <c r="B222" t="s">
        <v>66</v>
      </c>
      <c r="C222" t="s">
        <v>676</v>
      </c>
      <c r="D222">
        <v>11930</v>
      </c>
      <c r="E222" t="s">
        <v>12</v>
      </c>
      <c r="F222" t="s">
        <v>225</v>
      </c>
      <c r="G222" t="s">
        <v>17</v>
      </c>
      <c r="H222" t="s">
        <v>15</v>
      </c>
      <c r="I222" t="s">
        <v>676</v>
      </c>
    </row>
    <row r="223" spans="1:9" x14ac:dyDescent="0.25">
      <c r="A223" t="s">
        <v>280</v>
      </c>
      <c r="B223" t="s">
        <v>166</v>
      </c>
      <c r="C223" t="s">
        <v>679</v>
      </c>
      <c r="D223">
        <v>12007</v>
      </c>
      <c r="E223" t="s">
        <v>27</v>
      </c>
      <c r="F223" t="s">
        <v>225</v>
      </c>
      <c r="G223" t="s">
        <v>14</v>
      </c>
      <c r="H223" t="s">
        <v>15</v>
      </c>
      <c r="I223" t="s">
        <v>679</v>
      </c>
    </row>
    <row r="224" spans="1:9" x14ac:dyDescent="0.25">
      <c r="A224" t="s">
        <v>281</v>
      </c>
      <c r="B224" t="s">
        <v>46</v>
      </c>
      <c r="C224" t="s">
        <v>686</v>
      </c>
      <c r="D224">
        <v>1117</v>
      </c>
      <c r="E224" t="s">
        <v>173</v>
      </c>
      <c r="F224" t="s">
        <v>225</v>
      </c>
      <c r="G224" t="s">
        <v>17</v>
      </c>
      <c r="H224" t="s">
        <v>15</v>
      </c>
      <c r="I224" t="s">
        <v>686</v>
      </c>
    </row>
    <row r="225" spans="1:9" x14ac:dyDescent="0.25">
      <c r="A225" t="s">
        <v>282</v>
      </c>
      <c r="B225" t="s">
        <v>50</v>
      </c>
      <c r="C225" t="s">
        <v>675</v>
      </c>
      <c r="D225">
        <v>1923</v>
      </c>
      <c r="E225" t="s">
        <v>12</v>
      </c>
      <c r="F225" t="s">
        <v>225</v>
      </c>
      <c r="G225" t="s">
        <v>14</v>
      </c>
      <c r="H225" t="s">
        <v>15</v>
      </c>
      <c r="I225" t="s">
        <v>675</v>
      </c>
    </row>
    <row r="226" spans="1:9" x14ac:dyDescent="0.25">
      <c r="A226" t="s">
        <v>283</v>
      </c>
      <c r="B226" t="s">
        <v>180</v>
      </c>
      <c r="C226" t="s">
        <v>675</v>
      </c>
      <c r="D226">
        <v>1923</v>
      </c>
      <c r="E226" t="s">
        <v>12</v>
      </c>
      <c r="F226" t="s">
        <v>225</v>
      </c>
      <c r="G226" t="s">
        <v>17</v>
      </c>
      <c r="H226" t="s">
        <v>15</v>
      </c>
      <c r="I226" t="s">
        <v>675</v>
      </c>
    </row>
    <row r="227" spans="1:9" x14ac:dyDescent="0.25">
      <c r="A227" t="s">
        <v>284</v>
      </c>
      <c r="B227" t="s">
        <v>180</v>
      </c>
      <c r="C227" t="s">
        <v>679</v>
      </c>
      <c r="D227">
        <v>11834</v>
      </c>
      <c r="E227" t="s">
        <v>27</v>
      </c>
      <c r="F227" t="s">
        <v>225</v>
      </c>
      <c r="G227" t="s">
        <v>14</v>
      </c>
      <c r="H227" t="s">
        <v>15</v>
      </c>
      <c r="I227" t="s">
        <v>679</v>
      </c>
    </row>
    <row r="228" spans="1:9" x14ac:dyDescent="0.25">
      <c r="A228" t="s">
        <v>285</v>
      </c>
      <c r="B228" t="s">
        <v>50</v>
      </c>
      <c r="C228" t="s">
        <v>679</v>
      </c>
      <c r="D228">
        <v>1835</v>
      </c>
      <c r="E228" t="s">
        <v>27</v>
      </c>
      <c r="F228" t="s">
        <v>225</v>
      </c>
      <c r="H228" t="s">
        <v>15</v>
      </c>
      <c r="I228" t="s">
        <v>679</v>
      </c>
    </row>
    <row r="229" spans="1:9" x14ac:dyDescent="0.25">
      <c r="A229" t="s">
        <v>286</v>
      </c>
      <c r="B229" t="s">
        <v>46</v>
      </c>
      <c r="C229" t="s">
        <v>674</v>
      </c>
      <c r="D229">
        <v>11907</v>
      </c>
      <c r="E229" t="s">
        <v>12</v>
      </c>
      <c r="F229" t="s">
        <v>225</v>
      </c>
      <c r="G229" t="s">
        <v>14</v>
      </c>
      <c r="H229" t="s">
        <v>15</v>
      </c>
      <c r="I229" t="s">
        <v>674</v>
      </c>
    </row>
    <row r="230" spans="1:9" x14ac:dyDescent="0.25">
      <c r="A230" t="s">
        <v>287</v>
      </c>
      <c r="B230" t="s">
        <v>50</v>
      </c>
      <c r="C230" t="s">
        <v>681</v>
      </c>
      <c r="D230">
        <v>11900</v>
      </c>
      <c r="E230" t="s">
        <v>27</v>
      </c>
      <c r="F230" t="s">
        <v>225</v>
      </c>
      <c r="H230" t="s">
        <v>15</v>
      </c>
      <c r="I230" t="s">
        <v>681</v>
      </c>
    </row>
    <row r="231" spans="1:9" x14ac:dyDescent="0.25">
      <c r="A231" t="s">
        <v>288</v>
      </c>
      <c r="B231" t="s">
        <v>237</v>
      </c>
      <c r="C231" t="s">
        <v>679</v>
      </c>
      <c r="D231">
        <v>11885</v>
      </c>
      <c r="E231" t="s">
        <v>27</v>
      </c>
      <c r="F231" t="s">
        <v>225</v>
      </c>
      <c r="G231" t="s">
        <v>14</v>
      </c>
      <c r="H231" t="s">
        <v>15</v>
      </c>
      <c r="I231" t="s">
        <v>679</v>
      </c>
    </row>
    <row r="232" spans="1:9" x14ac:dyDescent="0.25">
      <c r="A232" t="s">
        <v>289</v>
      </c>
      <c r="B232" t="s">
        <v>56</v>
      </c>
      <c r="C232" t="s">
        <v>676</v>
      </c>
      <c r="D232">
        <v>11833</v>
      </c>
      <c r="E232" t="s">
        <v>12</v>
      </c>
      <c r="F232" t="s">
        <v>225</v>
      </c>
      <c r="G232" t="s">
        <v>14</v>
      </c>
      <c r="H232" t="s">
        <v>15</v>
      </c>
      <c r="I232" t="s">
        <v>676</v>
      </c>
    </row>
    <row r="233" spans="1:9" x14ac:dyDescent="0.25">
      <c r="A233" t="s">
        <v>290</v>
      </c>
      <c r="B233" t="s">
        <v>56</v>
      </c>
      <c r="C233" t="s">
        <v>677</v>
      </c>
      <c r="D233">
        <v>11841</v>
      </c>
      <c r="E233" t="s">
        <v>27</v>
      </c>
      <c r="F233" t="s">
        <v>225</v>
      </c>
      <c r="G233" t="s">
        <v>14</v>
      </c>
      <c r="H233" t="s">
        <v>15</v>
      </c>
      <c r="I233" t="s">
        <v>677</v>
      </c>
    </row>
    <row r="234" spans="1:9" x14ac:dyDescent="0.25">
      <c r="A234" t="s">
        <v>291</v>
      </c>
      <c r="B234" t="s">
        <v>56</v>
      </c>
      <c r="C234" t="s">
        <v>678</v>
      </c>
      <c r="D234">
        <v>11921</v>
      </c>
      <c r="E234" t="s">
        <v>27</v>
      </c>
      <c r="F234" t="s">
        <v>225</v>
      </c>
      <c r="G234" t="s">
        <v>17</v>
      </c>
      <c r="H234" t="s">
        <v>15</v>
      </c>
      <c r="I234" t="s">
        <v>678</v>
      </c>
    </row>
    <row r="235" spans="1:9" x14ac:dyDescent="0.25">
      <c r="A235" t="s">
        <v>292</v>
      </c>
      <c r="B235" t="s">
        <v>63</v>
      </c>
      <c r="C235" t="s">
        <v>672</v>
      </c>
      <c r="D235">
        <v>11851</v>
      </c>
      <c r="E235" t="s">
        <v>12</v>
      </c>
      <c r="F235" t="s">
        <v>225</v>
      </c>
      <c r="G235" t="s">
        <v>17</v>
      </c>
      <c r="H235" t="s">
        <v>15</v>
      </c>
      <c r="I235" t="s">
        <v>672</v>
      </c>
    </row>
    <row r="236" spans="1:9" x14ac:dyDescent="0.25">
      <c r="A236" t="s">
        <v>293</v>
      </c>
      <c r="B236" t="s">
        <v>63</v>
      </c>
      <c r="C236" t="s">
        <v>679</v>
      </c>
      <c r="D236">
        <v>12007</v>
      </c>
      <c r="E236" t="s">
        <v>27</v>
      </c>
      <c r="F236" t="s">
        <v>225</v>
      </c>
      <c r="G236" t="s">
        <v>14</v>
      </c>
      <c r="H236" t="s">
        <v>15</v>
      </c>
      <c r="I236" t="s">
        <v>679</v>
      </c>
    </row>
    <row r="237" spans="1:9" x14ac:dyDescent="0.25">
      <c r="A237" t="s">
        <v>294</v>
      </c>
      <c r="B237" t="s">
        <v>66</v>
      </c>
      <c r="C237" t="s">
        <v>676</v>
      </c>
      <c r="D237">
        <v>11930</v>
      </c>
      <c r="E237" t="s">
        <v>12</v>
      </c>
      <c r="F237" t="s">
        <v>225</v>
      </c>
      <c r="G237" t="s">
        <v>17</v>
      </c>
      <c r="H237" t="s">
        <v>15</v>
      </c>
      <c r="I237" t="s">
        <v>676</v>
      </c>
    </row>
    <row r="238" spans="1:9" x14ac:dyDescent="0.25">
      <c r="A238" t="s">
        <v>295</v>
      </c>
      <c r="B238" t="s">
        <v>66</v>
      </c>
      <c r="C238" t="s">
        <v>676</v>
      </c>
      <c r="D238">
        <v>11930</v>
      </c>
      <c r="E238" t="s">
        <v>12</v>
      </c>
      <c r="F238" t="s">
        <v>225</v>
      </c>
      <c r="G238" t="s">
        <v>14</v>
      </c>
      <c r="H238" t="s">
        <v>15</v>
      </c>
      <c r="I238" t="s">
        <v>676</v>
      </c>
    </row>
    <row r="239" spans="1:9" x14ac:dyDescent="0.25">
      <c r="A239" t="s">
        <v>296</v>
      </c>
      <c r="B239" t="s">
        <v>46</v>
      </c>
      <c r="C239" t="s">
        <v>674</v>
      </c>
      <c r="D239">
        <v>1107</v>
      </c>
      <c r="E239" t="s">
        <v>173</v>
      </c>
      <c r="F239" t="s">
        <v>225</v>
      </c>
      <c r="G239" t="s">
        <v>14</v>
      </c>
      <c r="H239" t="s">
        <v>15</v>
      </c>
      <c r="I239" t="s">
        <v>674</v>
      </c>
    </row>
    <row r="240" spans="1:9" x14ac:dyDescent="0.25">
      <c r="A240" t="s">
        <v>297</v>
      </c>
      <c r="B240" t="s">
        <v>46</v>
      </c>
      <c r="C240" t="s">
        <v>686</v>
      </c>
      <c r="D240">
        <v>1117</v>
      </c>
      <c r="E240" t="s">
        <v>173</v>
      </c>
      <c r="F240" t="s">
        <v>225</v>
      </c>
      <c r="G240" t="s">
        <v>17</v>
      </c>
      <c r="H240" t="s">
        <v>15</v>
      </c>
      <c r="I240" t="s">
        <v>686</v>
      </c>
    </row>
    <row r="241" spans="1:9" x14ac:dyDescent="0.25">
      <c r="A241" t="s">
        <v>298</v>
      </c>
      <c r="B241" t="s">
        <v>180</v>
      </c>
      <c r="C241" t="s">
        <v>675</v>
      </c>
      <c r="D241">
        <v>1923</v>
      </c>
      <c r="E241" t="s">
        <v>12</v>
      </c>
      <c r="F241" t="s">
        <v>225</v>
      </c>
      <c r="G241" t="s">
        <v>14</v>
      </c>
      <c r="H241" t="s">
        <v>15</v>
      </c>
      <c r="I241" t="s">
        <v>675</v>
      </c>
    </row>
    <row r="242" spans="1:9" x14ac:dyDescent="0.25">
      <c r="A242" t="s">
        <v>299</v>
      </c>
      <c r="B242" t="s">
        <v>180</v>
      </c>
      <c r="C242" t="s">
        <v>679</v>
      </c>
      <c r="D242">
        <v>11834</v>
      </c>
      <c r="E242" t="s">
        <v>27</v>
      </c>
      <c r="F242" t="s">
        <v>225</v>
      </c>
      <c r="G242" t="s">
        <v>14</v>
      </c>
      <c r="H242" t="s">
        <v>15</v>
      </c>
      <c r="I242" t="s">
        <v>679</v>
      </c>
    </row>
    <row r="243" spans="1:9" x14ac:dyDescent="0.25">
      <c r="A243" t="s">
        <v>300</v>
      </c>
      <c r="B243" t="s">
        <v>25</v>
      </c>
      <c r="C243" t="s">
        <v>672</v>
      </c>
      <c r="D243">
        <v>11820</v>
      </c>
      <c r="E243" t="s">
        <v>12</v>
      </c>
      <c r="F243" t="s">
        <v>225</v>
      </c>
      <c r="G243" t="s">
        <v>17</v>
      </c>
      <c r="H243" t="s">
        <v>15</v>
      </c>
      <c r="I243" t="s">
        <v>672</v>
      </c>
    </row>
    <row r="244" spans="1:9" x14ac:dyDescent="0.25">
      <c r="A244" t="s">
        <v>301</v>
      </c>
      <c r="B244" t="s">
        <v>50</v>
      </c>
      <c r="C244" t="s">
        <v>679</v>
      </c>
      <c r="D244">
        <v>1835</v>
      </c>
      <c r="E244" t="s">
        <v>27</v>
      </c>
      <c r="F244" t="s">
        <v>225</v>
      </c>
      <c r="H244" t="s">
        <v>15</v>
      </c>
      <c r="I244" t="s">
        <v>679</v>
      </c>
    </row>
    <row r="245" spans="1:9" x14ac:dyDescent="0.25">
      <c r="A245" t="s">
        <v>302</v>
      </c>
      <c r="B245" t="s">
        <v>66</v>
      </c>
      <c r="C245" t="s">
        <v>672</v>
      </c>
      <c r="D245">
        <v>11820</v>
      </c>
      <c r="E245" t="s">
        <v>27</v>
      </c>
      <c r="F245" t="s">
        <v>225</v>
      </c>
      <c r="G245" t="s">
        <v>14</v>
      </c>
      <c r="H245" t="s">
        <v>15</v>
      </c>
      <c r="I245" t="s">
        <v>672</v>
      </c>
    </row>
    <row r="246" spans="1:9" x14ac:dyDescent="0.25">
      <c r="A246" t="s">
        <v>303</v>
      </c>
      <c r="B246" t="s">
        <v>237</v>
      </c>
      <c r="C246" t="s">
        <v>672</v>
      </c>
      <c r="D246">
        <v>11845</v>
      </c>
      <c r="E246" t="s">
        <v>27</v>
      </c>
      <c r="F246" t="s">
        <v>225</v>
      </c>
      <c r="G246" t="s">
        <v>17</v>
      </c>
      <c r="H246" t="s">
        <v>15</v>
      </c>
      <c r="I246" t="s">
        <v>672</v>
      </c>
    </row>
    <row r="247" spans="1:9" x14ac:dyDescent="0.25">
      <c r="A247" t="s">
        <v>304</v>
      </c>
      <c r="B247" t="s">
        <v>34</v>
      </c>
      <c r="C247" t="s">
        <v>672</v>
      </c>
      <c r="D247">
        <v>11873</v>
      </c>
      <c r="E247" t="s">
        <v>12</v>
      </c>
      <c r="F247" t="s">
        <v>225</v>
      </c>
      <c r="G247" t="s">
        <v>17</v>
      </c>
      <c r="H247" t="s">
        <v>15</v>
      </c>
      <c r="I247" t="s">
        <v>672</v>
      </c>
    </row>
    <row r="248" spans="1:9" x14ac:dyDescent="0.25">
      <c r="A248" t="s">
        <v>305</v>
      </c>
      <c r="B248" t="s">
        <v>46</v>
      </c>
      <c r="C248" t="s">
        <v>674</v>
      </c>
      <c r="D248">
        <v>11907</v>
      </c>
      <c r="E248" t="s">
        <v>12</v>
      </c>
      <c r="F248" t="s">
        <v>225</v>
      </c>
      <c r="G248" t="s">
        <v>14</v>
      </c>
      <c r="H248" t="s">
        <v>15</v>
      </c>
      <c r="I248" t="s">
        <v>674</v>
      </c>
    </row>
    <row r="249" spans="1:9" x14ac:dyDescent="0.25">
      <c r="A249" t="s">
        <v>306</v>
      </c>
      <c r="B249" t="s">
        <v>237</v>
      </c>
      <c r="C249" t="s">
        <v>679</v>
      </c>
      <c r="D249">
        <v>11885</v>
      </c>
      <c r="E249" t="s">
        <v>27</v>
      </c>
      <c r="F249" t="s">
        <v>225</v>
      </c>
      <c r="G249" t="s">
        <v>14</v>
      </c>
      <c r="H249" t="s">
        <v>15</v>
      </c>
      <c r="I249" t="s">
        <v>679</v>
      </c>
    </row>
    <row r="250" spans="1:9" x14ac:dyDescent="0.25">
      <c r="A250" t="s">
        <v>307</v>
      </c>
      <c r="B250" t="s">
        <v>237</v>
      </c>
      <c r="C250" t="s">
        <v>676</v>
      </c>
      <c r="D250">
        <v>11833</v>
      </c>
      <c r="E250" t="s">
        <v>12</v>
      </c>
      <c r="F250" t="s">
        <v>225</v>
      </c>
      <c r="G250" t="s">
        <v>14</v>
      </c>
      <c r="H250" t="s">
        <v>15</v>
      </c>
      <c r="I250" t="s">
        <v>676</v>
      </c>
    </row>
    <row r="251" spans="1:9" x14ac:dyDescent="0.25">
      <c r="A251" t="s">
        <v>308</v>
      </c>
      <c r="B251" t="s">
        <v>63</v>
      </c>
      <c r="C251" t="s">
        <v>672</v>
      </c>
      <c r="D251">
        <v>11851</v>
      </c>
      <c r="E251" t="s">
        <v>12</v>
      </c>
      <c r="F251" t="s">
        <v>225</v>
      </c>
      <c r="G251" t="s">
        <v>17</v>
      </c>
      <c r="H251" t="s">
        <v>15</v>
      </c>
      <c r="I251" t="s">
        <v>672</v>
      </c>
    </row>
    <row r="252" spans="1:9" x14ac:dyDescent="0.25">
      <c r="A252" t="s">
        <v>309</v>
      </c>
      <c r="B252" t="s">
        <v>63</v>
      </c>
      <c r="C252" t="s">
        <v>679</v>
      </c>
      <c r="D252">
        <v>12007</v>
      </c>
      <c r="E252" t="s">
        <v>27</v>
      </c>
      <c r="F252" t="s">
        <v>225</v>
      </c>
      <c r="G252" t="s">
        <v>14</v>
      </c>
      <c r="H252" t="s">
        <v>15</v>
      </c>
      <c r="I252" t="s">
        <v>679</v>
      </c>
    </row>
    <row r="253" spans="1:9" x14ac:dyDescent="0.25">
      <c r="A253" t="s">
        <v>310</v>
      </c>
      <c r="B253" t="s">
        <v>66</v>
      </c>
      <c r="C253" t="s">
        <v>676</v>
      </c>
      <c r="D253">
        <v>11930</v>
      </c>
      <c r="E253" t="s">
        <v>12</v>
      </c>
      <c r="F253" t="s">
        <v>225</v>
      </c>
      <c r="G253" t="s">
        <v>17</v>
      </c>
      <c r="H253" t="s">
        <v>15</v>
      </c>
      <c r="I253" t="s">
        <v>676</v>
      </c>
    </row>
    <row r="254" spans="1:9" x14ac:dyDescent="0.25">
      <c r="A254" t="s">
        <v>311</v>
      </c>
      <c r="B254" t="s">
        <v>66</v>
      </c>
      <c r="C254" t="s">
        <v>676</v>
      </c>
      <c r="D254">
        <v>11930</v>
      </c>
      <c r="E254" t="s">
        <v>12</v>
      </c>
      <c r="F254" t="s">
        <v>225</v>
      </c>
      <c r="G254" t="s">
        <v>14</v>
      </c>
      <c r="H254" t="s">
        <v>15</v>
      </c>
      <c r="I254" t="s">
        <v>676</v>
      </c>
    </row>
    <row r="255" spans="1:9" x14ac:dyDescent="0.25">
      <c r="A255" t="s">
        <v>312</v>
      </c>
      <c r="B255" t="s">
        <v>43</v>
      </c>
      <c r="C255" t="s">
        <v>674</v>
      </c>
      <c r="D255">
        <v>1107</v>
      </c>
      <c r="E255" t="s">
        <v>173</v>
      </c>
      <c r="F255" t="s">
        <v>225</v>
      </c>
      <c r="G255" t="s">
        <v>14</v>
      </c>
      <c r="H255" t="s">
        <v>15</v>
      </c>
      <c r="I255" t="s">
        <v>674</v>
      </c>
    </row>
    <row r="256" spans="1:9" x14ac:dyDescent="0.25">
      <c r="A256" t="s">
        <v>313</v>
      </c>
      <c r="B256" t="s">
        <v>46</v>
      </c>
      <c r="C256" t="s">
        <v>674</v>
      </c>
      <c r="D256">
        <v>1107</v>
      </c>
      <c r="E256" t="s">
        <v>173</v>
      </c>
      <c r="F256" t="s">
        <v>225</v>
      </c>
      <c r="G256" t="s">
        <v>14</v>
      </c>
      <c r="H256" t="s">
        <v>15</v>
      </c>
      <c r="I256" t="s">
        <v>674</v>
      </c>
    </row>
    <row r="257" spans="1:9" x14ac:dyDescent="0.25">
      <c r="A257" t="s">
        <v>314</v>
      </c>
      <c r="B257" t="s">
        <v>46</v>
      </c>
      <c r="C257" t="s">
        <v>686</v>
      </c>
      <c r="D257">
        <v>1117</v>
      </c>
      <c r="E257" t="s">
        <v>173</v>
      </c>
      <c r="F257" t="s">
        <v>225</v>
      </c>
      <c r="G257" t="s">
        <v>17</v>
      </c>
      <c r="H257" t="s">
        <v>15</v>
      </c>
      <c r="I257" t="s">
        <v>686</v>
      </c>
    </row>
    <row r="258" spans="1:9" x14ac:dyDescent="0.25">
      <c r="A258" t="s">
        <v>315</v>
      </c>
      <c r="B258" t="s">
        <v>29</v>
      </c>
      <c r="C258" t="s">
        <v>672</v>
      </c>
      <c r="D258">
        <v>11820</v>
      </c>
      <c r="E258" t="s">
        <v>12</v>
      </c>
      <c r="F258" t="s">
        <v>225</v>
      </c>
      <c r="G258" t="s">
        <v>14</v>
      </c>
      <c r="H258" t="s">
        <v>15</v>
      </c>
      <c r="I258" t="s">
        <v>672</v>
      </c>
    </row>
    <row r="259" spans="1:9" x14ac:dyDescent="0.25">
      <c r="A259" t="s">
        <v>316</v>
      </c>
      <c r="B259" t="s">
        <v>25</v>
      </c>
      <c r="C259" t="s">
        <v>672</v>
      </c>
      <c r="D259">
        <v>11820</v>
      </c>
      <c r="E259" t="s">
        <v>12</v>
      </c>
      <c r="F259" t="s">
        <v>225</v>
      </c>
      <c r="G259" t="s">
        <v>17</v>
      </c>
      <c r="H259" t="s">
        <v>15</v>
      </c>
      <c r="I259" t="s">
        <v>672</v>
      </c>
    </row>
    <row r="260" spans="1:9" x14ac:dyDescent="0.25">
      <c r="A260" t="s">
        <v>317</v>
      </c>
      <c r="B260" t="s">
        <v>180</v>
      </c>
      <c r="C260" t="s">
        <v>679</v>
      </c>
      <c r="D260">
        <v>1835</v>
      </c>
      <c r="E260" t="s">
        <v>27</v>
      </c>
      <c r="F260" t="s">
        <v>225</v>
      </c>
      <c r="H260" t="s">
        <v>15</v>
      </c>
      <c r="I260" t="s">
        <v>679</v>
      </c>
    </row>
    <row r="261" spans="1:9" x14ac:dyDescent="0.25">
      <c r="A261" t="s">
        <v>318</v>
      </c>
      <c r="B261" t="s">
        <v>237</v>
      </c>
      <c r="C261" t="s">
        <v>672</v>
      </c>
      <c r="D261">
        <v>11845</v>
      </c>
      <c r="E261" t="s">
        <v>27</v>
      </c>
      <c r="F261" t="s">
        <v>225</v>
      </c>
      <c r="G261" t="s">
        <v>17</v>
      </c>
      <c r="H261" t="s">
        <v>15</v>
      </c>
      <c r="I261" t="s">
        <v>672</v>
      </c>
    </row>
    <row r="262" spans="1:9" x14ac:dyDescent="0.25">
      <c r="A262" t="s">
        <v>319</v>
      </c>
      <c r="B262" t="s">
        <v>34</v>
      </c>
      <c r="C262" t="s">
        <v>672</v>
      </c>
      <c r="D262">
        <v>11873</v>
      </c>
      <c r="E262" t="s">
        <v>12</v>
      </c>
      <c r="F262" t="s">
        <v>225</v>
      </c>
      <c r="G262" t="s">
        <v>17</v>
      </c>
      <c r="H262" t="s">
        <v>15</v>
      </c>
      <c r="I262" t="s">
        <v>672</v>
      </c>
    </row>
    <row r="263" spans="1:9" x14ac:dyDescent="0.25">
      <c r="A263" t="s">
        <v>320</v>
      </c>
      <c r="B263" t="s">
        <v>46</v>
      </c>
      <c r="C263" t="s">
        <v>674</v>
      </c>
      <c r="D263">
        <v>11907</v>
      </c>
      <c r="E263" t="s">
        <v>12</v>
      </c>
      <c r="F263" t="s">
        <v>225</v>
      </c>
      <c r="G263" t="s">
        <v>14</v>
      </c>
      <c r="H263" t="s">
        <v>15</v>
      </c>
      <c r="I263" t="s">
        <v>674</v>
      </c>
    </row>
    <row r="264" spans="1:9" x14ac:dyDescent="0.25">
      <c r="A264" t="s">
        <v>321</v>
      </c>
      <c r="B264" t="s">
        <v>50</v>
      </c>
      <c r="C264" t="s">
        <v>681</v>
      </c>
      <c r="D264">
        <v>11900</v>
      </c>
      <c r="E264" t="s">
        <v>27</v>
      </c>
      <c r="F264" t="s">
        <v>225</v>
      </c>
      <c r="H264" t="s">
        <v>15</v>
      </c>
      <c r="I264" t="s">
        <v>681</v>
      </c>
    </row>
    <row r="265" spans="1:9" x14ac:dyDescent="0.25">
      <c r="A265" t="s">
        <v>322</v>
      </c>
      <c r="B265" t="s">
        <v>180</v>
      </c>
      <c r="C265" t="s">
        <v>679</v>
      </c>
      <c r="D265">
        <v>11834</v>
      </c>
      <c r="E265" t="s">
        <v>27</v>
      </c>
      <c r="F265" t="s">
        <v>225</v>
      </c>
      <c r="G265" t="s">
        <v>17</v>
      </c>
      <c r="H265" t="s">
        <v>15</v>
      </c>
      <c r="I265" t="s">
        <v>679</v>
      </c>
    </row>
    <row r="266" spans="1:9" x14ac:dyDescent="0.25">
      <c r="A266" t="s">
        <v>323</v>
      </c>
      <c r="B266" t="s">
        <v>237</v>
      </c>
      <c r="C266" t="s">
        <v>679</v>
      </c>
      <c r="D266">
        <v>11885</v>
      </c>
      <c r="E266" t="s">
        <v>27</v>
      </c>
      <c r="F266" t="s">
        <v>225</v>
      </c>
      <c r="G266" t="s">
        <v>14</v>
      </c>
      <c r="H266" t="s">
        <v>15</v>
      </c>
      <c r="I266" t="s">
        <v>679</v>
      </c>
    </row>
    <row r="267" spans="1:9" x14ac:dyDescent="0.25">
      <c r="A267" t="s">
        <v>324</v>
      </c>
      <c r="B267" t="s">
        <v>53</v>
      </c>
      <c r="C267" t="s">
        <v>676</v>
      </c>
      <c r="D267">
        <v>11833</v>
      </c>
      <c r="E267" t="s">
        <v>12</v>
      </c>
      <c r="F267" t="s">
        <v>225</v>
      </c>
      <c r="G267" t="s">
        <v>14</v>
      </c>
      <c r="H267" t="s">
        <v>15</v>
      </c>
      <c r="I267" t="s">
        <v>676</v>
      </c>
    </row>
    <row r="268" spans="1:9" x14ac:dyDescent="0.25">
      <c r="A268" t="s">
        <v>325</v>
      </c>
      <c r="B268" t="s">
        <v>63</v>
      </c>
      <c r="C268" t="s">
        <v>672</v>
      </c>
      <c r="D268">
        <v>11851</v>
      </c>
      <c r="E268" t="s">
        <v>12</v>
      </c>
      <c r="F268" t="s">
        <v>225</v>
      </c>
      <c r="G268" t="s">
        <v>17</v>
      </c>
      <c r="H268" t="s">
        <v>15</v>
      </c>
      <c r="I268" t="s">
        <v>672</v>
      </c>
    </row>
    <row r="269" spans="1:9" x14ac:dyDescent="0.25">
      <c r="A269" t="s">
        <v>326</v>
      </c>
      <c r="B269" t="s">
        <v>63</v>
      </c>
      <c r="C269" t="s">
        <v>679</v>
      </c>
      <c r="D269">
        <v>12007</v>
      </c>
      <c r="E269" t="s">
        <v>27</v>
      </c>
      <c r="F269" t="s">
        <v>225</v>
      </c>
      <c r="G269" t="s">
        <v>17</v>
      </c>
      <c r="H269" t="s">
        <v>15</v>
      </c>
      <c r="I269" t="s">
        <v>679</v>
      </c>
    </row>
    <row r="270" spans="1:9" x14ac:dyDescent="0.25">
      <c r="A270" t="s">
        <v>327</v>
      </c>
      <c r="B270" t="s">
        <v>66</v>
      </c>
      <c r="C270" t="s">
        <v>676</v>
      </c>
      <c r="D270">
        <v>11930</v>
      </c>
      <c r="E270" t="s">
        <v>12</v>
      </c>
      <c r="F270" t="s">
        <v>225</v>
      </c>
      <c r="G270" t="s">
        <v>17</v>
      </c>
      <c r="H270" t="s">
        <v>15</v>
      </c>
      <c r="I270" t="s">
        <v>676</v>
      </c>
    </row>
    <row r="271" spans="1:9" x14ac:dyDescent="0.25">
      <c r="A271" t="s">
        <v>328</v>
      </c>
      <c r="B271" t="s">
        <v>66</v>
      </c>
      <c r="C271" t="s">
        <v>676</v>
      </c>
      <c r="D271">
        <v>11930</v>
      </c>
      <c r="E271" t="s">
        <v>12</v>
      </c>
      <c r="F271" t="s">
        <v>225</v>
      </c>
      <c r="G271" t="s">
        <v>14</v>
      </c>
      <c r="H271" t="s">
        <v>15</v>
      </c>
      <c r="I271" t="s">
        <v>676</v>
      </c>
    </row>
    <row r="272" spans="1:9" x14ac:dyDescent="0.25">
      <c r="A272" t="s">
        <v>329</v>
      </c>
      <c r="B272" t="s">
        <v>46</v>
      </c>
      <c r="C272" t="s">
        <v>686</v>
      </c>
      <c r="D272">
        <v>1117</v>
      </c>
      <c r="E272" t="s">
        <v>173</v>
      </c>
      <c r="F272" t="s">
        <v>225</v>
      </c>
      <c r="G272" t="s">
        <v>17</v>
      </c>
      <c r="H272" t="s">
        <v>15</v>
      </c>
      <c r="I272" t="s">
        <v>686</v>
      </c>
    </row>
    <row r="273" spans="1:9" x14ac:dyDescent="0.25">
      <c r="A273" t="s">
        <v>330</v>
      </c>
      <c r="B273" t="s">
        <v>264</v>
      </c>
      <c r="C273" t="s">
        <v>672</v>
      </c>
      <c r="D273">
        <v>11845</v>
      </c>
      <c r="E273" t="s">
        <v>27</v>
      </c>
      <c r="F273" t="s">
        <v>225</v>
      </c>
      <c r="G273" t="s">
        <v>17</v>
      </c>
      <c r="H273" t="s">
        <v>15</v>
      </c>
      <c r="I273" t="s">
        <v>672</v>
      </c>
    </row>
    <row r="274" spans="1:9" x14ac:dyDescent="0.25">
      <c r="A274" t="s">
        <v>331</v>
      </c>
      <c r="B274" t="s">
        <v>237</v>
      </c>
      <c r="C274" t="s">
        <v>672</v>
      </c>
      <c r="D274">
        <v>11845</v>
      </c>
      <c r="E274" t="s">
        <v>27</v>
      </c>
      <c r="F274" t="s">
        <v>225</v>
      </c>
      <c r="G274" t="s">
        <v>14</v>
      </c>
      <c r="H274" t="s">
        <v>15</v>
      </c>
      <c r="I274" t="s">
        <v>672</v>
      </c>
    </row>
    <row r="275" spans="1:9" x14ac:dyDescent="0.25">
      <c r="A275" t="s">
        <v>332</v>
      </c>
      <c r="B275" t="s">
        <v>34</v>
      </c>
      <c r="C275" t="s">
        <v>672</v>
      </c>
      <c r="D275">
        <v>11873</v>
      </c>
      <c r="E275" t="s">
        <v>12</v>
      </c>
      <c r="F275" t="s">
        <v>225</v>
      </c>
      <c r="G275" t="s">
        <v>14</v>
      </c>
      <c r="H275" t="s">
        <v>15</v>
      </c>
      <c r="I275" t="s">
        <v>672</v>
      </c>
    </row>
    <row r="276" spans="1:9" x14ac:dyDescent="0.25">
      <c r="A276" t="s">
        <v>333</v>
      </c>
      <c r="B276" t="s">
        <v>34</v>
      </c>
      <c r="C276" t="s">
        <v>672</v>
      </c>
      <c r="D276">
        <v>11873</v>
      </c>
      <c r="E276" t="s">
        <v>12</v>
      </c>
      <c r="F276" t="s">
        <v>225</v>
      </c>
      <c r="G276" t="s">
        <v>17</v>
      </c>
      <c r="H276" t="s">
        <v>15</v>
      </c>
      <c r="I276" t="s">
        <v>672</v>
      </c>
    </row>
    <row r="277" spans="1:9" x14ac:dyDescent="0.25">
      <c r="A277" t="s">
        <v>334</v>
      </c>
      <c r="B277" t="s">
        <v>46</v>
      </c>
      <c r="C277" t="s">
        <v>674</v>
      </c>
      <c r="D277">
        <v>11907</v>
      </c>
      <c r="E277" t="s">
        <v>12</v>
      </c>
      <c r="F277" t="s">
        <v>225</v>
      </c>
      <c r="G277" t="s">
        <v>14</v>
      </c>
      <c r="H277" t="s">
        <v>15</v>
      </c>
      <c r="I277" t="s">
        <v>674</v>
      </c>
    </row>
    <row r="278" spans="1:9" x14ac:dyDescent="0.25">
      <c r="A278" t="s">
        <v>335</v>
      </c>
      <c r="B278" t="s">
        <v>50</v>
      </c>
      <c r="C278" t="s">
        <v>681</v>
      </c>
      <c r="D278">
        <v>11900</v>
      </c>
      <c r="E278" t="s">
        <v>27</v>
      </c>
      <c r="F278" t="s">
        <v>225</v>
      </c>
      <c r="H278" t="s">
        <v>15</v>
      </c>
      <c r="I278" t="s">
        <v>681</v>
      </c>
    </row>
    <row r="279" spans="1:9" x14ac:dyDescent="0.25">
      <c r="A279" t="s">
        <v>336</v>
      </c>
      <c r="B279" t="s">
        <v>180</v>
      </c>
      <c r="C279" t="s">
        <v>679</v>
      </c>
      <c r="D279">
        <v>11834</v>
      </c>
      <c r="E279" t="s">
        <v>27</v>
      </c>
      <c r="F279" t="s">
        <v>225</v>
      </c>
      <c r="G279" t="s">
        <v>17</v>
      </c>
      <c r="H279" t="s">
        <v>15</v>
      </c>
      <c r="I279" t="s">
        <v>679</v>
      </c>
    </row>
    <row r="280" spans="1:9" x14ac:dyDescent="0.25">
      <c r="A280" t="s">
        <v>337</v>
      </c>
      <c r="B280" t="s">
        <v>338</v>
      </c>
      <c r="C280" t="s">
        <v>679</v>
      </c>
      <c r="D280">
        <v>11834</v>
      </c>
      <c r="E280" t="s">
        <v>27</v>
      </c>
      <c r="F280" t="s">
        <v>225</v>
      </c>
      <c r="G280" t="s">
        <v>17</v>
      </c>
      <c r="H280" t="s">
        <v>15</v>
      </c>
      <c r="I280" t="s">
        <v>679</v>
      </c>
    </row>
    <row r="281" spans="1:9" x14ac:dyDescent="0.25">
      <c r="A281" t="s">
        <v>339</v>
      </c>
      <c r="B281" t="s">
        <v>180</v>
      </c>
      <c r="C281" t="s">
        <v>679</v>
      </c>
      <c r="D281">
        <v>11885</v>
      </c>
      <c r="E281" t="s">
        <v>27</v>
      </c>
      <c r="F281" t="s">
        <v>225</v>
      </c>
      <c r="G281" t="s">
        <v>17</v>
      </c>
      <c r="H281" t="s">
        <v>15</v>
      </c>
      <c r="I281" t="s">
        <v>679</v>
      </c>
    </row>
    <row r="282" spans="1:9" x14ac:dyDescent="0.25">
      <c r="A282" t="s">
        <v>340</v>
      </c>
      <c r="B282" t="s">
        <v>237</v>
      </c>
      <c r="C282" t="s">
        <v>679</v>
      </c>
      <c r="D282">
        <v>11885</v>
      </c>
      <c r="E282" t="s">
        <v>27</v>
      </c>
      <c r="F282" t="s">
        <v>225</v>
      </c>
      <c r="G282" t="s">
        <v>14</v>
      </c>
      <c r="H282" t="s">
        <v>15</v>
      </c>
      <c r="I282" t="s">
        <v>679</v>
      </c>
    </row>
    <row r="283" spans="1:9" x14ac:dyDescent="0.25">
      <c r="A283" t="s">
        <v>341</v>
      </c>
      <c r="B283" t="s">
        <v>53</v>
      </c>
      <c r="C283" t="s">
        <v>676</v>
      </c>
      <c r="D283">
        <v>11833</v>
      </c>
      <c r="E283" t="s">
        <v>12</v>
      </c>
      <c r="F283" t="s">
        <v>225</v>
      </c>
      <c r="G283" t="s">
        <v>14</v>
      </c>
      <c r="H283" t="s">
        <v>15</v>
      </c>
      <c r="I283" t="s">
        <v>676</v>
      </c>
    </row>
    <row r="284" spans="1:9" x14ac:dyDescent="0.25">
      <c r="A284" t="s">
        <v>342</v>
      </c>
      <c r="B284" t="s">
        <v>37</v>
      </c>
      <c r="C284" t="s">
        <v>676</v>
      </c>
      <c r="D284">
        <v>11930</v>
      </c>
      <c r="E284" t="s">
        <v>12</v>
      </c>
      <c r="F284" t="s">
        <v>225</v>
      </c>
      <c r="G284" t="s">
        <v>14</v>
      </c>
      <c r="H284" t="s">
        <v>15</v>
      </c>
      <c r="I284" t="s">
        <v>676</v>
      </c>
    </row>
    <row r="285" spans="1:9" x14ac:dyDescent="0.25">
      <c r="A285" t="s">
        <v>343</v>
      </c>
      <c r="B285" t="s">
        <v>56</v>
      </c>
      <c r="C285" t="s">
        <v>677</v>
      </c>
      <c r="D285">
        <v>11841</v>
      </c>
      <c r="E285" t="s">
        <v>27</v>
      </c>
      <c r="F285" t="s">
        <v>225</v>
      </c>
      <c r="G285" t="s">
        <v>14</v>
      </c>
      <c r="H285" t="s">
        <v>15</v>
      </c>
      <c r="I285" t="s">
        <v>677</v>
      </c>
    </row>
    <row r="286" spans="1:9" x14ac:dyDescent="0.25">
      <c r="A286" t="s">
        <v>344</v>
      </c>
      <c r="B286" t="s">
        <v>345</v>
      </c>
      <c r="C286" t="s">
        <v>678</v>
      </c>
      <c r="D286">
        <v>11921</v>
      </c>
      <c r="E286" t="s">
        <v>27</v>
      </c>
      <c r="F286" t="s">
        <v>225</v>
      </c>
      <c r="G286" t="s">
        <v>17</v>
      </c>
      <c r="H286" t="s">
        <v>15</v>
      </c>
      <c r="I286" t="s">
        <v>678</v>
      </c>
    </row>
    <row r="287" spans="1:9" x14ac:dyDescent="0.25">
      <c r="A287" t="s">
        <v>346</v>
      </c>
      <c r="B287" t="s">
        <v>345</v>
      </c>
      <c r="C287" t="s">
        <v>678</v>
      </c>
      <c r="D287">
        <v>11921</v>
      </c>
      <c r="E287" t="s">
        <v>27</v>
      </c>
      <c r="F287" t="s">
        <v>225</v>
      </c>
      <c r="G287" t="s">
        <v>17</v>
      </c>
      <c r="H287" t="s">
        <v>15</v>
      </c>
      <c r="I287" t="s">
        <v>678</v>
      </c>
    </row>
    <row r="288" spans="1:9" x14ac:dyDescent="0.25">
      <c r="A288" t="s">
        <v>347</v>
      </c>
      <c r="B288" t="s">
        <v>63</v>
      </c>
      <c r="C288" t="s">
        <v>676</v>
      </c>
      <c r="D288">
        <v>11942</v>
      </c>
      <c r="E288" t="s">
        <v>12</v>
      </c>
      <c r="F288" t="s">
        <v>225</v>
      </c>
      <c r="G288" t="s">
        <v>14</v>
      </c>
      <c r="H288" t="s">
        <v>15</v>
      </c>
      <c r="I288" t="s">
        <v>676</v>
      </c>
    </row>
    <row r="289" spans="1:9" x14ac:dyDescent="0.25">
      <c r="A289" t="s">
        <v>348</v>
      </c>
      <c r="B289" t="s">
        <v>63</v>
      </c>
      <c r="C289" t="s">
        <v>679</v>
      </c>
      <c r="D289">
        <v>12007</v>
      </c>
      <c r="E289" t="s">
        <v>27</v>
      </c>
      <c r="F289" t="s">
        <v>225</v>
      </c>
      <c r="G289" t="s">
        <v>14</v>
      </c>
      <c r="H289" t="s">
        <v>15</v>
      </c>
      <c r="I289" t="s">
        <v>679</v>
      </c>
    </row>
    <row r="290" spans="1:9" x14ac:dyDescent="0.25">
      <c r="A290" t="s">
        <v>349</v>
      </c>
      <c r="B290" t="s">
        <v>63</v>
      </c>
      <c r="C290" t="s">
        <v>676</v>
      </c>
      <c r="D290">
        <v>11930</v>
      </c>
      <c r="E290" t="s">
        <v>12</v>
      </c>
      <c r="F290" t="s">
        <v>225</v>
      </c>
      <c r="G290" t="s">
        <v>17</v>
      </c>
      <c r="H290" t="s">
        <v>15</v>
      </c>
      <c r="I290" t="s">
        <v>676</v>
      </c>
    </row>
    <row r="291" spans="1:9" x14ac:dyDescent="0.25">
      <c r="A291" t="s">
        <v>350</v>
      </c>
      <c r="B291" t="s">
        <v>66</v>
      </c>
      <c r="C291" t="s">
        <v>679</v>
      </c>
      <c r="D291">
        <v>12007</v>
      </c>
      <c r="E291" t="s">
        <v>27</v>
      </c>
      <c r="F291" t="s">
        <v>225</v>
      </c>
      <c r="G291" t="s">
        <v>17</v>
      </c>
      <c r="H291" t="s">
        <v>15</v>
      </c>
      <c r="I291" t="s">
        <v>679</v>
      </c>
    </row>
    <row r="292" spans="1:9" x14ac:dyDescent="0.25">
      <c r="A292" t="s">
        <v>351</v>
      </c>
      <c r="B292" t="s">
        <v>46</v>
      </c>
      <c r="C292" t="s">
        <v>686</v>
      </c>
      <c r="D292">
        <v>1117</v>
      </c>
      <c r="E292" t="s">
        <v>173</v>
      </c>
      <c r="F292" t="s">
        <v>225</v>
      </c>
      <c r="G292" t="s">
        <v>17</v>
      </c>
      <c r="H292" t="s">
        <v>15</v>
      </c>
      <c r="I292" t="s">
        <v>686</v>
      </c>
    </row>
    <row r="293" spans="1:9" x14ac:dyDescent="0.25">
      <c r="A293" t="s">
        <v>352</v>
      </c>
      <c r="B293" t="s">
        <v>46</v>
      </c>
      <c r="C293" t="s">
        <v>686</v>
      </c>
      <c r="D293">
        <v>1117</v>
      </c>
      <c r="E293" t="s">
        <v>173</v>
      </c>
      <c r="F293" t="s">
        <v>225</v>
      </c>
      <c r="G293" t="s">
        <v>17</v>
      </c>
      <c r="H293" t="s">
        <v>15</v>
      </c>
      <c r="I293" t="s">
        <v>686</v>
      </c>
    </row>
    <row r="294" spans="1:9" x14ac:dyDescent="0.25">
      <c r="A294" t="s">
        <v>353</v>
      </c>
      <c r="B294" t="s">
        <v>46</v>
      </c>
      <c r="C294" t="s">
        <v>674</v>
      </c>
      <c r="D294">
        <v>1107</v>
      </c>
      <c r="E294" t="s">
        <v>173</v>
      </c>
      <c r="F294" t="s">
        <v>225</v>
      </c>
      <c r="G294" t="s">
        <v>14</v>
      </c>
      <c r="H294" t="s">
        <v>15</v>
      </c>
      <c r="I294" t="s">
        <v>674</v>
      </c>
    </row>
    <row r="295" spans="1:9" x14ac:dyDescent="0.25">
      <c r="A295" t="s">
        <v>354</v>
      </c>
      <c r="B295" t="s">
        <v>46</v>
      </c>
      <c r="C295" t="s">
        <v>686</v>
      </c>
      <c r="D295">
        <v>1117</v>
      </c>
      <c r="E295" t="s">
        <v>173</v>
      </c>
      <c r="F295" t="s">
        <v>225</v>
      </c>
      <c r="G295" t="s">
        <v>17</v>
      </c>
      <c r="H295" t="s">
        <v>15</v>
      </c>
      <c r="I295" t="s">
        <v>686</v>
      </c>
    </row>
    <row r="296" spans="1:9" x14ac:dyDescent="0.25">
      <c r="A296" t="s">
        <v>355</v>
      </c>
      <c r="B296" t="s">
        <v>10</v>
      </c>
      <c r="C296" t="s">
        <v>11</v>
      </c>
      <c r="D296">
        <v>1406</v>
      </c>
      <c r="E296" t="s">
        <v>12</v>
      </c>
      <c r="F296" t="s">
        <v>356</v>
      </c>
      <c r="H296" t="s">
        <v>15</v>
      </c>
      <c r="I296" t="s">
        <v>671</v>
      </c>
    </row>
    <row r="297" spans="1:9" x14ac:dyDescent="0.25">
      <c r="A297" t="s">
        <v>357</v>
      </c>
      <c r="B297" t="s">
        <v>10</v>
      </c>
      <c r="C297" t="s">
        <v>11</v>
      </c>
      <c r="D297">
        <v>11823</v>
      </c>
      <c r="E297" t="s">
        <v>27</v>
      </c>
      <c r="F297" t="s">
        <v>356</v>
      </c>
      <c r="G297" t="s">
        <v>17</v>
      </c>
      <c r="H297" t="s">
        <v>15</v>
      </c>
      <c r="I297" t="s">
        <v>671</v>
      </c>
    </row>
    <row r="298" spans="1:9" x14ac:dyDescent="0.25">
      <c r="A298" t="s">
        <v>358</v>
      </c>
      <c r="B298" t="s">
        <v>359</v>
      </c>
      <c r="C298" t="s">
        <v>11</v>
      </c>
      <c r="D298">
        <v>11823</v>
      </c>
      <c r="E298" t="s">
        <v>27</v>
      </c>
      <c r="F298" t="s">
        <v>356</v>
      </c>
      <c r="G298" t="s">
        <v>14</v>
      </c>
      <c r="H298" t="s">
        <v>15</v>
      </c>
      <c r="I298" t="s">
        <v>671</v>
      </c>
    </row>
    <row r="299" spans="1:9" x14ac:dyDescent="0.25">
      <c r="A299" t="s">
        <v>360</v>
      </c>
      <c r="B299" t="s">
        <v>359</v>
      </c>
      <c r="C299" t="s">
        <v>11</v>
      </c>
      <c r="D299">
        <v>11823</v>
      </c>
      <c r="E299" t="s">
        <v>27</v>
      </c>
      <c r="F299" t="s">
        <v>356</v>
      </c>
      <c r="G299" t="s">
        <v>14</v>
      </c>
      <c r="H299" t="s">
        <v>15</v>
      </c>
      <c r="I299" t="s">
        <v>671</v>
      </c>
    </row>
    <row r="300" spans="1:9" x14ac:dyDescent="0.25">
      <c r="A300" t="s">
        <v>361</v>
      </c>
      <c r="B300" t="s">
        <v>10</v>
      </c>
      <c r="C300" t="s">
        <v>11</v>
      </c>
      <c r="D300">
        <v>11826</v>
      </c>
      <c r="E300" t="s">
        <v>12</v>
      </c>
      <c r="F300" t="s">
        <v>356</v>
      </c>
      <c r="G300" t="s">
        <v>17</v>
      </c>
      <c r="H300" t="s">
        <v>15</v>
      </c>
      <c r="I300" t="s">
        <v>671</v>
      </c>
    </row>
    <row r="301" spans="1:9" x14ac:dyDescent="0.25">
      <c r="A301" t="s">
        <v>362</v>
      </c>
      <c r="B301" t="s">
        <v>10</v>
      </c>
      <c r="C301" t="s">
        <v>11</v>
      </c>
      <c r="D301">
        <v>11826</v>
      </c>
      <c r="E301" t="s">
        <v>12</v>
      </c>
      <c r="F301" t="s">
        <v>356</v>
      </c>
      <c r="G301" t="s">
        <v>14</v>
      </c>
      <c r="H301" t="s">
        <v>15</v>
      </c>
      <c r="I301" t="s">
        <v>671</v>
      </c>
    </row>
    <row r="302" spans="1:9" x14ac:dyDescent="0.25">
      <c r="A302" t="s">
        <v>363</v>
      </c>
      <c r="B302" t="s">
        <v>10</v>
      </c>
      <c r="C302" t="s">
        <v>11</v>
      </c>
      <c r="D302">
        <v>11827</v>
      </c>
      <c r="E302" t="s">
        <v>12</v>
      </c>
      <c r="F302" t="s">
        <v>356</v>
      </c>
      <c r="G302" t="s">
        <v>17</v>
      </c>
      <c r="H302" t="s">
        <v>15</v>
      </c>
      <c r="I302" t="s">
        <v>671</v>
      </c>
    </row>
    <row r="303" spans="1:9" x14ac:dyDescent="0.25">
      <c r="A303" t="s">
        <v>364</v>
      </c>
      <c r="B303" t="s">
        <v>365</v>
      </c>
      <c r="C303" t="s">
        <v>11</v>
      </c>
      <c r="D303">
        <v>11827</v>
      </c>
      <c r="E303" t="s">
        <v>12</v>
      </c>
      <c r="F303" t="s">
        <v>356</v>
      </c>
      <c r="G303" t="s">
        <v>14</v>
      </c>
      <c r="H303" t="s">
        <v>15</v>
      </c>
      <c r="I303" t="s">
        <v>671</v>
      </c>
    </row>
    <row r="304" spans="1:9" x14ac:dyDescent="0.25">
      <c r="A304" t="s">
        <v>366</v>
      </c>
      <c r="B304" t="s">
        <v>365</v>
      </c>
      <c r="C304" t="s">
        <v>11</v>
      </c>
      <c r="D304">
        <v>11827</v>
      </c>
      <c r="E304" t="s">
        <v>12</v>
      </c>
      <c r="F304" t="s">
        <v>356</v>
      </c>
      <c r="G304" t="s">
        <v>14</v>
      </c>
      <c r="H304" t="s">
        <v>15</v>
      </c>
      <c r="I304" t="s">
        <v>671</v>
      </c>
    </row>
    <row r="305" spans="1:9" x14ac:dyDescent="0.25">
      <c r="A305" t="s">
        <v>367</v>
      </c>
      <c r="B305" t="s">
        <v>20</v>
      </c>
      <c r="C305" t="s">
        <v>11</v>
      </c>
      <c r="D305">
        <v>11846</v>
      </c>
      <c r="E305" t="s">
        <v>12</v>
      </c>
      <c r="F305" t="s">
        <v>356</v>
      </c>
      <c r="G305" t="s">
        <v>17</v>
      </c>
      <c r="H305" t="s">
        <v>15</v>
      </c>
      <c r="I305" t="s">
        <v>671</v>
      </c>
    </row>
    <row r="306" spans="1:9" x14ac:dyDescent="0.25">
      <c r="A306" t="s">
        <v>368</v>
      </c>
      <c r="B306" t="s">
        <v>20</v>
      </c>
      <c r="C306" t="s">
        <v>11</v>
      </c>
      <c r="D306">
        <v>11846</v>
      </c>
      <c r="E306" t="s">
        <v>12</v>
      </c>
      <c r="F306" t="s">
        <v>356</v>
      </c>
      <c r="G306" t="s">
        <v>14</v>
      </c>
      <c r="H306" t="s">
        <v>15</v>
      </c>
      <c r="I306" t="s">
        <v>671</v>
      </c>
    </row>
    <row r="307" spans="1:9" x14ac:dyDescent="0.25">
      <c r="A307" t="s">
        <v>369</v>
      </c>
      <c r="B307" t="s">
        <v>370</v>
      </c>
      <c r="C307" t="s">
        <v>11</v>
      </c>
      <c r="D307">
        <v>11884</v>
      </c>
      <c r="E307" t="s">
        <v>12</v>
      </c>
      <c r="F307" t="s">
        <v>356</v>
      </c>
      <c r="H307" t="s">
        <v>15</v>
      </c>
      <c r="I307" t="s">
        <v>671</v>
      </c>
    </row>
    <row r="308" spans="1:9" x14ac:dyDescent="0.25">
      <c r="A308" t="s">
        <v>371</v>
      </c>
      <c r="B308" t="s">
        <v>370</v>
      </c>
      <c r="C308" t="s">
        <v>11</v>
      </c>
      <c r="D308">
        <v>11884</v>
      </c>
      <c r="E308" t="s">
        <v>12</v>
      </c>
      <c r="F308" t="s">
        <v>356</v>
      </c>
      <c r="H308" t="s">
        <v>15</v>
      </c>
      <c r="I308" t="s">
        <v>671</v>
      </c>
    </row>
    <row r="309" spans="1:9" x14ac:dyDescent="0.25">
      <c r="A309" t="s">
        <v>372</v>
      </c>
      <c r="B309" t="s">
        <v>373</v>
      </c>
      <c r="C309" t="s">
        <v>11</v>
      </c>
      <c r="D309">
        <v>11918</v>
      </c>
      <c r="E309" t="s">
        <v>12</v>
      </c>
      <c r="F309" t="s">
        <v>356</v>
      </c>
      <c r="H309" t="s">
        <v>15</v>
      </c>
      <c r="I309" t="s">
        <v>671</v>
      </c>
    </row>
    <row r="310" spans="1:9" x14ac:dyDescent="0.25">
      <c r="A310" t="s">
        <v>374</v>
      </c>
      <c r="B310" t="s">
        <v>373</v>
      </c>
      <c r="C310" t="s">
        <v>11</v>
      </c>
      <c r="D310">
        <v>11918</v>
      </c>
      <c r="E310" t="s">
        <v>12</v>
      </c>
      <c r="F310" t="s">
        <v>356</v>
      </c>
      <c r="H310" t="s">
        <v>15</v>
      </c>
      <c r="I310" t="s">
        <v>671</v>
      </c>
    </row>
    <row r="311" spans="1:9" x14ac:dyDescent="0.25">
      <c r="A311" t="s">
        <v>375</v>
      </c>
      <c r="B311" t="s">
        <v>25</v>
      </c>
      <c r="C311" t="s">
        <v>672</v>
      </c>
      <c r="D311">
        <v>11820</v>
      </c>
      <c r="E311" t="s">
        <v>12</v>
      </c>
      <c r="F311" t="s">
        <v>356</v>
      </c>
      <c r="H311" t="s">
        <v>15</v>
      </c>
      <c r="I311" t="s">
        <v>672</v>
      </c>
    </row>
    <row r="312" spans="1:9" x14ac:dyDescent="0.25">
      <c r="A312" t="s">
        <v>376</v>
      </c>
      <c r="B312" t="s">
        <v>377</v>
      </c>
      <c r="C312" t="s">
        <v>26</v>
      </c>
      <c r="D312">
        <v>11831</v>
      </c>
      <c r="E312" t="s">
        <v>27</v>
      </c>
      <c r="F312" t="s">
        <v>356</v>
      </c>
      <c r="G312" t="s">
        <v>17</v>
      </c>
      <c r="H312" t="s">
        <v>15</v>
      </c>
      <c r="I312" t="s">
        <v>671</v>
      </c>
    </row>
    <row r="313" spans="1:9" x14ac:dyDescent="0.25">
      <c r="A313" t="s">
        <v>378</v>
      </c>
      <c r="B313" t="s">
        <v>377</v>
      </c>
      <c r="C313" t="s">
        <v>26</v>
      </c>
      <c r="D313">
        <v>11831</v>
      </c>
      <c r="E313" t="s">
        <v>27</v>
      </c>
      <c r="F313" t="s">
        <v>356</v>
      </c>
      <c r="G313" t="s">
        <v>17</v>
      </c>
      <c r="H313" t="s">
        <v>15</v>
      </c>
      <c r="I313" t="s">
        <v>671</v>
      </c>
    </row>
    <row r="314" spans="1:9" x14ac:dyDescent="0.25">
      <c r="A314" t="s">
        <v>379</v>
      </c>
      <c r="B314" t="s">
        <v>20</v>
      </c>
      <c r="C314" t="s">
        <v>26</v>
      </c>
      <c r="D314">
        <v>11831</v>
      </c>
      <c r="E314" t="s">
        <v>27</v>
      </c>
      <c r="F314" t="s">
        <v>356</v>
      </c>
      <c r="G314" t="s">
        <v>14</v>
      </c>
      <c r="H314" t="s">
        <v>15</v>
      </c>
      <c r="I314" t="s">
        <v>671</v>
      </c>
    </row>
    <row r="315" spans="1:9" x14ac:dyDescent="0.25">
      <c r="A315" t="s">
        <v>380</v>
      </c>
      <c r="B315" t="s">
        <v>76</v>
      </c>
      <c r="C315" t="s">
        <v>26</v>
      </c>
      <c r="D315">
        <v>11878</v>
      </c>
      <c r="E315" t="s">
        <v>12</v>
      </c>
      <c r="F315" t="s">
        <v>356</v>
      </c>
      <c r="H315" t="s">
        <v>15</v>
      </c>
      <c r="I315" t="s">
        <v>671</v>
      </c>
    </row>
    <row r="316" spans="1:9" x14ac:dyDescent="0.25">
      <c r="A316" t="s">
        <v>381</v>
      </c>
      <c r="B316" t="s">
        <v>237</v>
      </c>
      <c r="C316" t="s">
        <v>672</v>
      </c>
      <c r="D316">
        <v>11845</v>
      </c>
      <c r="E316" t="s">
        <v>27</v>
      </c>
      <c r="F316" t="s">
        <v>356</v>
      </c>
      <c r="G316" t="s">
        <v>17</v>
      </c>
      <c r="H316" t="s">
        <v>15</v>
      </c>
      <c r="I316" t="s">
        <v>672</v>
      </c>
    </row>
    <row r="317" spans="1:9" x14ac:dyDescent="0.25">
      <c r="A317" t="s">
        <v>382</v>
      </c>
      <c r="B317" t="s">
        <v>237</v>
      </c>
      <c r="C317" t="s">
        <v>672</v>
      </c>
      <c r="D317">
        <v>11845</v>
      </c>
      <c r="E317" t="s">
        <v>27</v>
      </c>
      <c r="F317" t="s">
        <v>356</v>
      </c>
      <c r="G317" t="s">
        <v>17</v>
      </c>
      <c r="H317" t="s">
        <v>15</v>
      </c>
      <c r="I317" t="s">
        <v>672</v>
      </c>
    </row>
    <row r="318" spans="1:9" x14ac:dyDescent="0.25">
      <c r="A318" t="s">
        <v>383</v>
      </c>
      <c r="B318" t="s">
        <v>237</v>
      </c>
      <c r="C318" t="s">
        <v>672</v>
      </c>
      <c r="D318">
        <v>11845</v>
      </c>
      <c r="E318" t="s">
        <v>27</v>
      </c>
      <c r="F318" t="s">
        <v>356</v>
      </c>
      <c r="G318" t="s">
        <v>14</v>
      </c>
      <c r="H318" t="s">
        <v>15</v>
      </c>
      <c r="I318" t="s">
        <v>672</v>
      </c>
    </row>
    <row r="319" spans="1:9" x14ac:dyDescent="0.25">
      <c r="A319" t="s">
        <v>384</v>
      </c>
      <c r="B319" t="s">
        <v>37</v>
      </c>
      <c r="C319" t="s">
        <v>672</v>
      </c>
      <c r="D319">
        <v>11873</v>
      </c>
      <c r="E319" t="s">
        <v>12</v>
      </c>
      <c r="F319" t="s">
        <v>356</v>
      </c>
      <c r="G319" t="s">
        <v>17</v>
      </c>
      <c r="H319" t="s">
        <v>15</v>
      </c>
      <c r="I319" t="s">
        <v>672</v>
      </c>
    </row>
    <row r="320" spans="1:9" x14ac:dyDescent="0.25">
      <c r="A320" t="s">
        <v>385</v>
      </c>
      <c r="B320" t="s">
        <v>34</v>
      </c>
      <c r="C320" t="s">
        <v>672</v>
      </c>
      <c r="D320">
        <v>11873</v>
      </c>
      <c r="E320" t="s">
        <v>12</v>
      </c>
      <c r="F320" t="s">
        <v>356</v>
      </c>
      <c r="G320" t="s">
        <v>14</v>
      </c>
      <c r="H320" t="s">
        <v>15</v>
      </c>
      <c r="I320" t="s">
        <v>672</v>
      </c>
    </row>
    <row r="321" spans="1:9" x14ac:dyDescent="0.25">
      <c r="A321" t="s">
        <v>386</v>
      </c>
      <c r="B321" t="s">
        <v>387</v>
      </c>
      <c r="C321" t="s">
        <v>673</v>
      </c>
      <c r="D321">
        <v>11832</v>
      </c>
      <c r="E321" t="s">
        <v>12</v>
      </c>
      <c r="F321" t="s">
        <v>356</v>
      </c>
      <c r="G321" t="s">
        <v>17</v>
      </c>
      <c r="H321" t="s">
        <v>15</v>
      </c>
      <c r="I321" t="s">
        <v>671</v>
      </c>
    </row>
    <row r="322" spans="1:9" x14ac:dyDescent="0.25">
      <c r="A322" t="s">
        <v>388</v>
      </c>
      <c r="B322" t="s">
        <v>387</v>
      </c>
      <c r="C322" t="s">
        <v>673</v>
      </c>
      <c r="D322">
        <v>11832</v>
      </c>
      <c r="E322" t="s">
        <v>12</v>
      </c>
      <c r="F322" t="s">
        <v>356</v>
      </c>
      <c r="G322" t="s">
        <v>17</v>
      </c>
      <c r="H322" t="s">
        <v>15</v>
      </c>
      <c r="I322" t="s">
        <v>671</v>
      </c>
    </row>
    <row r="323" spans="1:9" x14ac:dyDescent="0.25">
      <c r="A323" t="s">
        <v>389</v>
      </c>
      <c r="B323" t="s">
        <v>40</v>
      </c>
      <c r="C323" t="s">
        <v>673</v>
      </c>
      <c r="D323">
        <v>11832</v>
      </c>
      <c r="E323" t="s">
        <v>12</v>
      </c>
      <c r="F323" t="s">
        <v>356</v>
      </c>
      <c r="G323" t="s">
        <v>14</v>
      </c>
      <c r="H323" t="s">
        <v>15</v>
      </c>
      <c r="I323" t="s">
        <v>671</v>
      </c>
    </row>
    <row r="324" spans="1:9" x14ac:dyDescent="0.25">
      <c r="A324" t="s">
        <v>390</v>
      </c>
      <c r="B324" t="s">
        <v>40</v>
      </c>
      <c r="C324" t="s">
        <v>673</v>
      </c>
      <c r="D324">
        <v>11830</v>
      </c>
      <c r="E324" t="s">
        <v>12</v>
      </c>
      <c r="F324" t="s">
        <v>356</v>
      </c>
      <c r="G324" t="s">
        <v>17</v>
      </c>
      <c r="H324" t="s">
        <v>15</v>
      </c>
      <c r="I324" t="s">
        <v>671</v>
      </c>
    </row>
    <row r="325" spans="1:9" x14ac:dyDescent="0.25">
      <c r="A325" t="s">
        <v>391</v>
      </c>
      <c r="B325" t="s">
        <v>40</v>
      </c>
      <c r="C325" t="s">
        <v>673</v>
      </c>
      <c r="D325">
        <v>11830</v>
      </c>
      <c r="E325" t="s">
        <v>12</v>
      </c>
      <c r="F325" t="s">
        <v>356</v>
      </c>
      <c r="G325" t="s">
        <v>14</v>
      </c>
      <c r="H325" t="s">
        <v>15</v>
      </c>
      <c r="I325" t="s">
        <v>671</v>
      </c>
    </row>
    <row r="326" spans="1:9" x14ac:dyDescent="0.25">
      <c r="A326" t="s">
        <v>392</v>
      </c>
      <c r="B326" t="s">
        <v>249</v>
      </c>
      <c r="C326" t="s">
        <v>674</v>
      </c>
      <c r="D326">
        <v>11907</v>
      </c>
      <c r="E326" t="s">
        <v>12</v>
      </c>
      <c r="F326" t="s">
        <v>356</v>
      </c>
      <c r="G326" t="s">
        <v>14</v>
      </c>
      <c r="H326" t="s">
        <v>15</v>
      </c>
      <c r="I326" t="s">
        <v>674</v>
      </c>
    </row>
    <row r="327" spans="1:9" x14ac:dyDescent="0.25">
      <c r="A327" t="s">
        <v>393</v>
      </c>
      <c r="B327" t="s">
        <v>249</v>
      </c>
      <c r="C327" t="s">
        <v>674</v>
      </c>
      <c r="D327">
        <v>11907</v>
      </c>
      <c r="E327" t="s">
        <v>12</v>
      </c>
      <c r="F327" t="s">
        <v>356</v>
      </c>
      <c r="G327" t="s">
        <v>14</v>
      </c>
      <c r="H327" t="s">
        <v>15</v>
      </c>
      <c r="I327" t="s">
        <v>674</v>
      </c>
    </row>
    <row r="328" spans="1:9" x14ac:dyDescent="0.25">
      <c r="A328" t="s">
        <v>394</v>
      </c>
      <c r="B328" t="s">
        <v>50</v>
      </c>
      <c r="C328" t="s">
        <v>675</v>
      </c>
      <c r="D328">
        <v>1923</v>
      </c>
      <c r="E328" t="s">
        <v>12</v>
      </c>
      <c r="F328" t="s">
        <v>356</v>
      </c>
      <c r="G328" t="s">
        <v>17</v>
      </c>
      <c r="H328" t="s">
        <v>15</v>
      </c>
      <c r="I328" t="s">
        <v>675</v>
      </c>
    </row>
    <row r="329" spans="1:9" x14ac:dyDescent="0.25">
      <c r="A329" t="s">
        <v>395</v>
      </c>
      <c r="B329" t="s">
        <v>396</v>
      </c>
      <c r="C329" t="s">
        <v>675</v>
      </c>
      <c r="D329">
        <v>1923</v>
      </c>
      <c r="E329" t="s">
        <v>12</v>
      </c>
      <c r="F329" t="s">
        <v>356</v>
      </c>
      <c r="G329" t="s">
        <v>14</v>
      </c>
      <c r="H329" t="s">
        <v>15</v>
      </c>
      <c r="I329" t="s">
        <v>675</v>
      </c>
    </row>
    <row r="330" spans="1:9" x14ac:dyDescent="0.25">
      <c r="A330" t="s">
        <v>397</v>
      </c>
      <c r="B330" t="s">
        <v>396</v>
      </c>
      <c r="C330" t="s">
        <v>675</v>
      </c>
      <c r="D330">
        <v>1923</v>
      </c>
      <c r="E330" t="s">
        <v>12</v>
      </c>
      <c r="F330" t="s">
        <v>356</v>
      </c>
      <c r="G330" t="s">
        <v>14</v>
      </c>
      <c r="H330" t="s">
        <v>15</v>
      </c>
      <c r="I330" t="s">
        <v>675</v>
      </c>
    </row>
    <row r="331" spans="1:9" x14ac:dyDescent="0.25">
      <c r="A331" t="s">
        <v>398</v>
      </c>
      <c r="B331" t="s">
        <v>53</v>
      </c>
      <c r="C331" t="s">
        <v>679</v>
      </c>
      <c r="D331">
        <v>11885</v>
      </c>
      <c r="E331" t="s">
        <v>27</v>
      </c>
      <c r="F331" t="s">
        <v>356</v>
      </c>
      <c r="H331" t="s">
        <v>15</v>
      </c>
      <c r="I331" t="s">
        <v>679</v>
      </c>
    </row>
    <row r="332" spans="1:9" x14ac:dyDescent="0.25">
      <c r="A332" t="s">
        <v>399</v>
      </c>
      <c r="B332" t="s">
        <v>53</v>
      </c>
      <c r="C332" t="s">
        <v>676</v>
      </c>
      <c r="D332">
        <v>11833</v>
      </c>
      <c r="E332" t="s">
        <v>12</v>
      </c>
      <c r="F332" t="s">
        <v>356</v>
      </c>
      <c r="G332" t="s">
        <v>17</v>
      </c>
      <c r="H332" t="s">
        <v>15</v>
      </c>
      <c r="I332" t="s">
        <v>676</v>
      </c>
    </row>
    <row r="333" spans="1:9" x14ac:dyDescent="0.25">
      <c r="A333" t="s">
        <v>400</v>
      </c>
      <c r="B333" t="s">
        <v>53</v>
      </c>
      <c r="C333" t="s">
        <v>676</v>
      </c>
      <c r="D333">
        <v>11833</v>
      </c>
      <c r="E333" t="s">
        <v>12</v>
      </c>
      <c r="F333" t="s">
        <v>356</v>
      </c>
      <c r="G333" t="s">
        <v>14</v>
      </c>
      <c r="H333" t="s">
        <v>15</v>
      </c>
      <c r="I333" t="s">
        <v>676</v>
      </c>
    </row>
    <row r="334" spans="1:9" x14ac:dyDescent="0.25">
      <c r="A334" t="s">
        <v>401</v>
      </c>
      <c r="B334" t="s">
        <v>56</v>
      </c>
      <c r="C334" t="s">
        <v>676</v>
      </c>
      <c r="D334">
        <v>11930</v>
      </c>
      <c r="E334" t="s">
        <v>12</v>
      </c>
      <c r="F334" t="s">
        <v>356</v>
      </c>
      <c r="H334" t="s">
        <v>15</v>
      </c>
      <c r="I334" t="s">
        <v>676</v>
      </c>
    </row>
    <row r="335" spans="1:9" x14ac:dyDescent="0.25">
      <c r="A335" t="s">
        <v>402</v>
      </c>
      <c r="B335" t="s">
        <v>56</v>
      </c>
      <c r="C335" t="s">
        <v>676</v>
      </c>
      <c r="D335">
        <v>11942</v>
      </c>
      <c r="E335" t="s">
        <v>12</v>
      </c>
      <c r="F335" t="s">
        <v>356</v>
      </c>
      <c r="G335" t="s">
        <v>17</v>
      </c>
      <c r="H335" t="s">
        <v>15</v>
      </c>
      <c r="I335" t="s">
        <v>676</v>
      </c>
    </row>
    <row r="336" spans="1:9" x14ac:dyDescent="0.25">
      <c r="A336" t="s">
        <v>403</v>
      </c>
      <c r="B336" t="s">
        <v>56</v>
      </c>
      <c r="C336" t="s">
        <v>677</v>
      </c>
      <c r="D336">
        <v>1890</v>
      </c>
      <c r="E336" t="s">
        <v>173</v>
      </c>
      <c r="F336" t="s">
        <v>356</v>
      </c>
      <c r="H336" t="s">
        <v>15</v>
      </c>
      <c r="I336" t="s">
        <v>677</v>
      </c>
    </row>
    <row r="337" spans="1:9" x14ac:dyDescent="0.25">
      <c r="A337" t="s">
        <v>404</v>
      </c>
      <c r="B337" t="s">
        <v>56</v>
      </c>
      <c r="C337" t="s">
        <v>677</v>
      </c>
      <c r="D337">
        <v>11841</v>
      </c>
      <c r="E337" t="s">
        <v>27</v>
      </c>
      <c r="F337" t="s">
        <v>356</v>
      </c>
      <c r="G337" t="s">
        <v>17</v>
      </c>
      <c r="H337" t="s">
        <v>15</v>
      </c>
      <c r="I337" t="s">
        <v>677</v>
      </c>
    </row>
    <row r="338" spans="1:9" x14ac:dyDescent="0.25">
      <c r="A338" t="s">
        <v>405</v>
      </c>
      <c r="B338" t="s">
        <v>56</v>
      </c>
      <c r="C338" t="s">
        <v>677</v>
      </c>
      <c r="D338">
        <v>11841</v>
      </c>
      <c r="E338" t="s">
        <v>27</v>
      </c>
      <c r="F338" t="s">
        <v>356</v>
      </c>
      <c r="G338" t="s">
        <v>14</v>
      </c>
      <c r="H338" t="s">
        <v>15</v>
      </c>
      <c r="I338" t="s">
        <v>677</v>
      </c>
    </row>
    <row r="339" spans="1:9" x14ac:dyDescent="0.25">
      <c r="A339" t="s">
        <v>406</v>
      </c>
      <c r="B339" t="s">
        <v>60</v>
      </c>
      <c r="C339" t="s">
        <v>675</v>
      </c>
      <c r="D339">
        <v>11947</v>
      </c>
      <c r="E339" t="s">
        <v>12</v>
      </c>
      <c r="F339" t="s">
        <v>356</v>
      </c>
      <c r="G339" t="s">
        <v>14</v>
      </c>
      <c r="H339" t="s">
        <v>15</v>
      </c>
      <c r="I339" t="s">
        <v>675</v>
      </c>
    </row>
    <row r="340" spans="1:9" x14ac:dyDescent="0.25">
      <c r="A340" t="s">
        <v>407</v>
      </c>
      <c r="B340" t="s">
        <v>112</v>
      </c>
      <c r="C340" t="s">
        <v>11</v>
      </c>
      <c r="D340">
        <v>11920</v>
      </c>
      <c r="E340" t="s">
        <v>27</v>
      </c>
      <c r="F340" t="s">
        <v>356</v>
      </c>
      <c r="H340" t="s">
        <v>113</v>
      </c>
      <c r="I340" t="s">
        <v>671</v>
      </c>
    </row>
    <row r="341" spans="1:9" x14ac:dyDescent="0.25">
      <c r="A341" t="s">
        <v>408</v>
      </c>
      <c r="B341" t="s">
        <v>144</v>
      </c>
      <c r="C341" t="s">
        <v>681</v>
      </c>
      <c r="D341">
        <v>1290</v>
      </c>
      <c r="E341" t="s">
        <v>27</v>
      </c>
      <c r="F341" t="s">
        <v>356</v>
      </c>
      <c r="H341" t="s">
        <v>15</v>
      </c>
      <c r="I341" t="s">
        <v>681</v>
      </c>
    </row>
    <row r="342" spans="1:9" x14ac:dyDescent="0.25">
      <c r="A342" t="s">
        <v>409</v>
      </c>
      <c r="B342" t="s">
        <v>168</v>
      </c>
      <c r="C342" t="s">
        <v>677</v>
      </c>
      <c r="D342">
        <v>1046</v>
      </c>
      <c r="E342" t="s">
        <v>12</v>
      </c>
      <c r="F342" t="s">
        <v>356</v>
      </c>
      <c r="G342" t="s">
        <v>14</v>
      </c>
      <c r="H342" t="s">
        <v>15</v>
      </c>
      <c r="I342" t="s">
        <v>677</v>
      </c>
    </row>
    <row r="343" spans="1:9" x14ac:dyDescent="0.25">
      <c r="A343" t="s">
        <v>410</v>
      </c>
      <c r="B343" t="s">
        <v>63</v>
      </c>
      <c r="C343" t="s">
        <v>676</v>
      </c>
      <c r="D343">
        <v>11942</v>
      </c>
      <c r="E343" t="s">
        <v>12</v>
      </c>
      <c r="F343" t="s">
        <v>356</v>
      </c>
      <c r="G343" t="s">
        <v>14</v>
      </c>
      <c r="H343" t="s">
        <v>15</v>
      </c>
      <c r="I343" t="s">
        <v>676</v>
      </c>
    </row>
    <row r="344" spans="1:9" x14ac:dyDescent="0.25">
      <c r="A344" t="s">
        <v>411</v>
      </c>
      <c r="B344" t="s">
        <v>63</v>
      </c>
      <c r="C344" t="s">
        <v>679</v>
      </c>
      <c r="D344">
        <v>12007</v>
      </c>
      <c r="E344" t="s">
        <v>27</v>
      </c>
      <c r="F344" t="s">
        <v>356</v>
      </c>
      <c r="G344" t="s">
        <v>14</v>
      </c>
      <c r="H344" t="s">
        <v>15</v>
      </c>
      <c r="I344" t="s">
        <v>679</v>
      </c>
    </row>
    <row r="345" spans="1:9" x14ac:dyDescent="0.25">
      <c r="A345" t="s">
        <v>412</v>
      </c>
      <c r="B345" t="s">
        <v>63</v>
      </c>
      <c r="C345" t="s">
        <v>679</v>
      </c>
      <c r="D345">
        <v>12007</v>
      </c>
      <c r="E345" t="s">
        <v>27</v>
      </c>
      <c r="F345" t="s">
        <v>356</v>
      </c>
      <c r="G345" t="s">
        <v>17</v>
      </c>
      <c r="H345" t="s">
        <v>15</v>
      </c>
      <c r="I345" t="s">
        <v>679</v>
      </c>
    </row>
    <row r="346" spans="1:9" x14ac:dyDescent="0.25">
      <c r="A346" t="s">
        <v>413</v>
      </c>
      <c r="B346" t="s">
        <v>50</v>
      </c>
      <c r="C346" t="s">
        <v>681</v>
      </c>
      <c r="D346">
        <v>11900</v>
      </c>
      <c r="E346" t="s">
        <v>27</v>
      </c>
      <c r="F346" t="s">
        <v>414</v>
      </c>
      <c r="H346" t="s">
        <v>15</v>
      </c>
      <c r="I346" t="s">
        <v>681</v>
      </c>
    </row>
    <row r="347" spans="1:9" x14ac:dyDescent="0.25">
      <c r="A347" t="s">
        <v>415</v>
      </c>
      <c r="B347" t="s">
        <v>25</v>
      </c>
      <c r="C347" t="s">
        <v>11</v>
      </c>
      <c r="D347">
        <v>11848</v>
      </c>
      <c r="E347" t="s">
        <v>27</v>
      </c>
      <c r="F347" t="s">
        <v>416</v>
      </c>
      <c r="G347" t="s">
        <v>14</v>
      </c>
      <c r="H347" t="s">
        <v>15</v>
      </c>
      <c r="I347" t="s">
        <v>671</v>
      </c>
    </row>
    <row r="348" spans="1:9" x14ac:dyDescent="0.25">
      <c r="A348" t="s">
        <v>417</v>
      </c>
      <c r="B348" t="s">
        <v>377</v>
      </c>
      <c r="C348" t="s">
        <v>11</v>
      </c>
      <c r="D348">
        <v>11848</v>
      </c>
      <c r="E348" t="s">
        <v>27</v>
      </c>
      <c r="F348" t="s">
        <v>416</v>
      </c>
      <c r="G348" t="s">
        <v>17</v>
      </c>
      <c r="H348" t="s">
        <v>15</v>
      </c>
      <c r="I348" t="s">
        <v>671</v>
      </c>
    </row>
    <row r="349" spans="1:9" x14ac:dyDescent="0.25">
      <c r="A349" t="s">
        <v>418</v>
      </c>
      <c r="B349" t="s">
        <v>377</v>
      </c>
      <c r="C349" t="s">
        <v>11</v>
      </c>
      <c r="D349">
        <v>11848</v>
      </c>
      <c r="E349" t="s">
        <v>27</v>
      </c>
      <c r="F349" t="s">
        <v>416</v>
      </c>
      <c r="G349" t="s">
        <v>17</v>
      </c>
      <c r="H349" t="s">
        <v>15</v>
      </c>
      <c r="I349" t="s">
        <v>671</v>
      </c>
    </row>
    <row r="350" spans="1:9" x14ac:dyDescent="0.25">
      <c r="A350" t="s">
        <v>419</v>
      </c>
      <c r="B350" t="s">
        <v>29</v>
      </c>
      <c r="C350" t="s">
        <v>26</v>
      </c>
      <c r="D350">
        <v>11815</v>
      </c>
      <c r="E350" t="s">
        <v>12</v>
      </c>
      <c r="F350" t="s">
        <v>416</v>
      </c>
      <c r="H350" t="s">
        <v>15</v>
      </c>
      <c r="I350" t="s">
        <v>671</v>
      </c>
    </row>
    <row r="351" spans="1:9" x14ac:dyDescent="0.25">
      <c r="A351" t="s">
        <v>420</v>
      </c>
      <c r="B351" t="s">
        <v>76</v>
      </c>
      <c r="C351" t="s">
        <v>87</v>
      </c>
      <c r="D351">
        <v>11904</v>
      </c>
      <c r="E351" t="s">
        <v>27</v>
      </c>
      <c r="F351" t="s">
        <v>416</v>
      </c>
      <c r="H351" t="s">
        <v>15</v>
      </c>
      <c r="I351" t="s">
        <v>680</v>
      </c>
    </row>
    <row r="352" spans="1:9" x14ac:dyDescent="0.25">
      <c r="A352" t="s">
        <v>421</v>
      </c>
      <c r="B352" t="s">
        <v>76</v>
      </c>
      <c r="C352" t="s">
        <v>136</v>
      </c>
      <c r="D352">
        <v>11931</v>
      </c>
      <c r="E352" t="s">
        <v>173</v>
      </c>
      <c r="F352" t="s">
        <v>416</v>
      </c>
      <c r="H352" t="s">
        <v>15</v>
      </c>
      <c r="I352" t="s">
        <v>683</v>
      </c>
    </row>
    <row r="353" spans="1:9" x14ac:dyDescent="0.25">
      <c r="A353" t="s">
        <v>422</v>
      </c>
      <c r="B353" t="s">
        <v>76</v>
      </c>
      <c r="C353" t="s">
        <v>423</v>
      </c>
      <c r="D353">
        <v>11840</v>
      </c>
      <c r="E353" t="s">
        <v>12</v>
      </c>
      <c r="F353" t="s">
        <v>416</v>
      </c>
      <c r="H353" t="s">
        <v>15</v>
      </c>
      <c r="I353" t="s">
        <v>684</v>
      </c>
    </row>
    <row r="354" spans="1:9" x14ac:dyDescent="0.25">
      <c r="A354" t="s">
        <v>424</v>
      </c>
      <c r="B354" t="s">
        <v>76</v>
      </c>
      <c r="C354" t="s">
        <v>423</v>
      </c>
      <c r="D354">
        <v>11837</v>
      </c>
      <c r="E354" t="s">
        <v>27</v>
      </c>
      <c r="F354" t="s">
        <v>416</v>
      </c>
      <c r="H354" t="s">
        <v>15</v>
      </c>
      <c r="I354" t="s">
        <v>684</v>
      </c>
    </row>
    <row r="355" spans="1:9" x14ac:dyDescent="0.25">
      <c r="A355" t="s">
        <v>425</v>
      </c>
      <c r="B355" t="s">
        <v>76</v>
      </c>
      <c r="C355" t="s">
        <v>426</v>
      </c>
      <c r="D355">
        <v>11903</v>
      </c>
      <c r="E355" t="s">
        <v>12</v>
      </c>
      <c r="F355" t="s">
        <v>416</v>
      </c>
      <c r="H355" t="s">
        <v>15</v>
      </c>
      <c r="I355" t="s">
        <v>687</v>
      </c>
    </row>
    <row r="356" spans="1:9" x14ac:dyDescent="0.25">
      <c r="A356" t="s">
        <v>427</v>
      </c>
      <c r="B356" t="s">
        <v>76</v>
      </c>
      <c r="C356" t="s">
        <v>672</v>
      </c>
      <c r="D356">
        <v>11810</v>
      </c>
      <c r="E356" t="s">
        <v>12</v>
      </c>
      <c r="F356" t="s">
        <v>416</v>
      </c>
      <c r="H356" t="s">
        <v>15</v>
      </c>
      <c r="I356" t="s">
        <v>672</v>
      </c>
    </row>
    <row r="357" spans="1:9" x14ac:dyDescent="0.25">
      <c r="A357" t="s">
        <v>428</v>
      </c>
      <c r="B357" t="s">
        <v>34</v>
      </c>
      <c r="C357" t="s">
        <v>672</v>
      </c>
      <c r="D357">
        <v>11606</v>
      </c>
      <c r="E357" t="s">
        <v>27</v>
      </c>
      <c r="F357" t="s">
        <v>416</v>
      </c>
      <c r="G357" t="s">
        <v>17</v>
      </c>
      <c r="H357" t="s">
        <v>15</v>
      </c>
      <c r="I357" t="s">
        <v>672</v>
      </c>
    </row>
    <row r="358" spans="1:9" x14ac:dyDescent="0.25">
      <c r="A358" t="s">
        <v>429</v>
      </c>
      <c r="B358" t="s">
        <v>34</v>
      </c>
      <c r="C358" t="s">
        <v>672</v>
      </c>
      <c r="D358">
        <v>11606</v>
      </c>
      <c r="E358" t="s">
        <v>27</v>
      </c>
      <c r="F358" t="s">
        <v>416</v>
      </c>
      <c r="G358" t="s">
        <v>14</v>
      </c>
      <c r="H358" t="s">
        <v>15</v>
      </c>
      <c r="I358" t="s">
        <v>672</v>
      </c>
    </row>
    <row r="359" spans="1:9" x14ac:dyDescent="0.25">
      <c r="A359" t="s">
        <v>430</v>
      </c>
      <c r="B359" t="s">
        <v>338</v>
      </c>
      <c r="C359" t="s">
        <v>679</v>
      </c>
      <c r="D359">
        <v>1102</v>
      </c>
      <c r="E359" t="s">
        <v>12</v>
      </c>
      <c r="F359" t="s">
        <v>416</v>
      </c>
      <c r="G359" t="s">
        <v>17</v>
      </c>
      <c r="H359" t="s">
        <v>15</v>
      </c>
      <c r="I359" t="s">
        <v>679</v>
      </c>
    </row>
    <row r="360" spans="1:9" x14ac:dyDescent="0.25">
      <c r="A360" t="s">
        <v>431</v>
      </c>
      <c r="B360" t="s">
        <v>338</v>
      </c>
      <c r="C360" t="s">
        <v>679</v>
      </c>
      <c r="D360">
        <v>1558</v>
      </c>
      <c r="E360" t="s">
        <v>12</v>
      </c>
      <c r="F360" t="s">
        <v>416</v>
      </c>
      <c r="G360" t="s">
        <v>17</v>
      </c>
      <c r="H360" t="s">
        <v>15</v>
      </c>
      <c r="I360" t="s">
        <v>679</v>
      </c>
    </row>
    <row r="361" spans="1:9" x14ac:dyDescent="0.25">
      <c r="A361" t="s">
        <v>432</v>
      </c>
      <c r="B361" t="s">
        <v>338</v>
      </c>
      <c r="C361" t="s">
        <v>679</v>
      </c>
      <c r="D361">
        <v>1558</v>
      </c>
      <c r="E361" t="s">
        <v>12</v>
      </c>
      <c r="F361" t="s">
        <v>416</v>
      </c>
      <c r="G361" t="s">
        <v>14</v>
      </c>
      <c r="H361" t="s">
        <v>15</v>
      </c>
      <c r="I361" t="s">
        <v>679</v>
      </c>
    </row>
    <row r="362" spans="1:9" x14ac:dyDescent="0.25">
      <c r="A362" t="s">
        <v>433</v>
      </c>
      <c r="B362" t="s">
        <v>53</v>
      </c>
      <c r="C362" t="s">
        <v>676</v>
      </c>
      <c r="D362">
        <v>11602</v>
      </c>
      <c r="E362" t="s">
        <v>27</v>
      </c>
      <c r="F362" t="s">
        <v>416</v>
      </c>
      <c r="G362" t="s">
        <v>17</v>
      </c>
      <c r="H362" t="s">
        <v>15</v>
      </c>
      <c r="I362" t="s">
        <v>676</v>
      </c>
    </row>
    <row r="363" spans="1:9" x14ac:dyDescent="0.25">
      <c r="A363" t="s">
        <v>434</v>
      </c>
      <c r="B363" t="s">
        <v>53</v>
      </c>
      <c r="C363" t="s">
        <v>676</v>
      </c>
      <c r="D363">
        <v>11602</v>
      </c>
      <c r="E363" t="s">
        <v>27</v>
      </c>
      <c r="F363" t="s">
        <v>416</v>
      </c>
      <c r="G363" t="s">
        <v>14</v>
      </c>
      <c r="H363" t="s">
        <v>15</v>
      </c>
      <c r="I363" t="s">
        <v>676</v>
      </c>
    </row>
    <row r="364" spans="1:9" x14ac:dyDescent="0.25">
      <c r="A364" t="s">
        <v>435</v>
      </c>
      <c r="B364" t="s">
        <v>56</v>
      </c>
      <c r="C364" t="s">
        <v>677</v>
      </c>
      <c r="D364">
        <v>1281</v>
      </c>
      <c r="E364" t="s">
        <v>27</v>
      </c>
      <c r="F364" t="s">
        <v>416</v>
      </c>
      <c r="G364" t="s">
        <v>17</v>
      </c>
      <c r="H364" t="s">
        <v>15</v>
      </c>
      <c r="I364" t="s">
        <v>677</v>
      </c>
    </row>
    <row r="365" spans="1:9" x14ac:dyDescent="0.25">
      <c r="A365" t="s">
        <v>436</v>
      </c>
      <c r="B365" t="s">
        <v>56</v>
      </c>
      <c r="C365" t="s">
        <v>677</v>
      </c>
      <c r="D365">
        <v>1281</v>
      </c>
      <c r="E365" t="s">
        <v>27</v>
      </c>
      <c r="F365" t="s">
        <v>416</v>
      </c>
      <c r="G365" t="s">
        <v>14</v>
      </c>
      <c r="H365" t="s">
        <v>15</v>
      </c>
      <c r="I365" t="s">
        <v>677</v>
      </c>
    </row>
    <row r="366" spans="1:9" x14ac:dyDescent="0.25">
      <c r="A366" t="s">
        <v>437</v>
      </c>
      <c r="B366" t="s">
        <v>122</v>
      </c>
      <c r="C366" t="s">
        <v>104</v>
      </c>
      <c r="D366">
        <v>11118</v>
      </c>
      <c r="E366" t="s">
        <v>12</v>
      </c>
      <c r="F366" t="s">
        <v>416</v>
      </c>
      <c r="H366" t="s">
        <v>15</v>
      </c>
      <c r="I366" t="s">
        <v>671</v>
      </c>
    </row>
    <row r="367" spans="1:9" x14ac:dyDescent="0.25">
      <c r="A367" t="s">
        <v>438</v>
      </c>
      <c r="B367" t="s">
        <v>56</v>
      </c>
      <c r="C367" t="s">
        <v>677</v>
      </c>
      <c r="D367">
        <v>1308</v>
      </c>
      <c r="E367" t="s">
        <v>12</v>
      </c>
      <c r="F367" t="s">
        <v>439</v>
      </c>
      <c r="H367" t="s">
        <v>15</v>
      </c>
      <c r="I367" t="s">
        <v>677</v>
      </c>
    </row>
    <row r="368" spans="1:9" x14ac:dyDescent="0.25">
      <c r="A368" t="s">
        <v>440</v>
      </c>
      <c r="B368" t="s">
        <v>25</v>
      </c>
      <c r="C368" t="s">
        <v>26</v>
      </c>
      <c r="D368">
        <v>11871</v>
      </c>
      <c r="E368" t="s">
        <v>12</v>
      </c>
      <c r="F368" t="s">
        <v>441</v>
      </c>
      <c r="G368" t="s">
        <v>17</v>
      </c>
      <c r="H368" t="s">
        <v>15</v>
      </c>
      <c r="I368" t="s">
        <v>671</v>
      </c>
    </row>
    <row r="369" spans="1:9" x14ac:dyDescent="0.25">
      <c r="A369" t="s">
        <v>442</v>
      </c>
      <c r="B369" t="s">
        <v>34</v>
      </c>
      <c r="C369" t="s">
        <v>672</v>
      </c>
      <c r="D369">
        <v>11874</v>
      </c>
      <c r="E369" t="s">
        <v>27</v>
      </c>
      <c r="F369" t="s">
        <v>441</v>
      </c>
      <c r="H369" t="s">
        <v>15</v>
      </c>
      <c r="I369" t="s">
        <v>672</v>
      </c>
    </row>
    <row r="370" spans="1:9" x14ac:dyDescent="0.25">
      <c r="A370" t="s">
        <v>443</v>
      </c>
      <c r="B370" t="s">
        <v>245</v>
      </c>
      <c r="C370" t="s">
        <v>672</v>
      </c>
      <c r="D370">
        <v>11626</v>
      </c>
      <c r="E370" t="s">
        <v>12</v>
      </c>
      <c r="F370" t="s">
        <v>441</v>
      </c>
      <c r="H370" t="s">
        <v>15</v>
      </c>
      <c r="I370" t="s">
        <v>672</v>
      </c>
    </row>
    <row r="371" spans="1:9" x14ac:dyDescent="0.25">
      <c r="A371" t="s">
        <v>444</v>
      </c>
      <c r="B371" t="s">
        <v>50</v>
      </c>
      <c r="C371" t="s">
        <v>675</v>
      </c>
      <c r="D371">
        <v>11844</v>
      </c>
      <c r="E371" t="s">
        <v>27</v>
      </c>
      <c r="F371" t="s">
        <v>441</v>
      </c>
      <c r="G371" t="s">
        <v>17</v>
      </c>
      <c r="H371" t="s">
        <v>15</v>
      </c>
      <c r="I371" t="s">
        <v>675</v>
      </c>
    </row>
    <row r="372" spans="1:9" x14ac:dyDescent="0.25">
      <c r="A372" t="s">
        <v>445</v>
      </c>
      <c r="B372" t="s">
        <v>53</v>
      </c>
      <c r="C372" t="s">
        <v>676</v>
      </c>
      <c r="D372">
        <v>11893</v>
      </c>
      <c r="E372" t="s">
        <v>12</v>
      </c>
      <c r="F372" t="s">
        <v>441</v>
      </c>
      <c r="G372" t="s">
        <v>17</v>
      </c>
      <c r="H372" t="s">
        <v>15</v>
      </c>
      <c r="I372" t="s">
        <v>676</v>
      </c>
    </row>
    <row r="373" spans="1:9" x14ac:dyDescent="0.25">
      <c r="A373" t="s">
        <v>446</v>
      </c>
      <c r="B373" t="s">
        <v>76</v>
      </c>
      <c r="C373" t="s">
        <v>81</v>
      </c>
      <c r="D373">
        <v>11882</v>
      </c>
      <c r="E373" t="s">
        <v>12</v>
      </c>
      <c r="F373" t="s">
        <v>416</v>
      </c>
      <c r="G373" t="s">
        <v>447</v>
      </c>
      <c r="H373" t="s">
        <v>15</v>
      </c>
      <c r="I373" t="s">
        <v>671</v>
      </c>
    </row>
    <row r="374" spans="1:9" x14ac:dyDescent="0.25">
      <c r="A374" t="s">
        <v>448</v>
      </c>
      <c r="B374" t="s">
        <v>25</v>
      </c>
      <c r="C374" t="s">
        <v>11</v>
      </c>
      <c r="D374">
        <v>11848</v>
      </c>
      <c r="E374" t="s">
        <v>27</v>
      </c>
      <c r="F374" t="s">
        <v>449</v>
      </c>
      <c r="G374" t="s">
        <v>17</v>
      </c>
      <c r="H374" t="s">
        <v>15</v>
      </c>
      <c r="I374" t="s">
        <v>671</v>
      </c>
    </row>
    <row r="375" spans="1:9" x14ac:dyDescent="0.25">
      <c r="A375" t="s">
        <v>450</v>
      </c>
      <c r="B375" t="s">
        <v>20</v>
      </c>
      <c r="C375" t="s">
        <v>11</v>
      </c>
      <c r="D375">
        <v>11824</v>
      </c>
      <c r="E375" t="s">
        <v>27</v>
      </c>
      <c r="F375" t="s">
        <v>449</v>
      </c>
      <c r="H375" t="s">
        <v>15</v>
      </c>
      <c r="I375" t="s">
        <v>671</v>
      </c>
    </row>
    <row r="376" spans="1:9" x14ac:dyDescent="0.25">
      <c r="A376" t="s">
        <v>451</v>
      </c>
      <c r="B376" t="s">
        <v>29</v>
      </c>
      <c r="C376" t="s">
        <v>672</v>
      </c>
      <c r="D376">
        <v>11820</v>
      </c>
      <c r="E376" t="s">
        <v>12</v>
      </c>
      <c r="F376" t="s">
        <v>449</v>
      </c>
      <c r="G376" t="s">
        <v>14</v>
      </c>
      <c r="H376" t="s">
        <v>15</v>
      </c>
      <c r="I376" t="s">
        <v>672</v>
      </c>
    </row>
    <row r="377" spans="1:9" x14ac:dyDescent="0.25">
      <c r="A377" t="s">
        <v>452</v>
      </c>
      <c r="B377" t="s">
        <v>76</v>
      </c>
      <c r="C377" t="s">
        <v>81</v>
      </c>
      <c r="D377">
        <v>11882</v>
      </c>
      <c r="E377" t="s">
        <v>12</v>
      </c>
      <c r="F377" t="s">
        <v>449</v>
      </c>
      <c r="H377" t="s">
        <v>15</v>
      </c>
      <c r="I377" t="s">
        <v>671</v>
      </c>
    </row>
    <row r="378" spans="1:9" x14ac:dyDescent="0.25">
      <c r="A378" t="s">
        <v>453</v>
      </c>
      <c r="B378" t="s">
        <v>76</v>
      </c>
      <c r="C378" t="s">
        <v>84</v>
      </c>
      <c r="D378">
        <v>11856</v>
      </c>
      <c r="E378" t="s">
        <v>27</v>
      </c>
      <c r="F378" t="s">
        <v>449</v>
      </c>
      <c r="H378" t="s">
        <v>15</v>
      </c>
      <c r="I378" t="s">
        <v>680</v>
      </c>
    </row>
    <row r="379" spans="1:9" x14ac:dyDescent="0.25">
      <c r="A379" t="s">
        <v>454</v>
      </c>
      <c r="B379" t="s">
        <v>76</v>
      </c>
      <c r="C379" t="s">
        <v>136</v>
      </c>
      <c r="D379">
        <v>11931</v>
      </c>
      <c r="E379" t="s">
        <v>173</v>
      </c>
      <c r="F379" t="s">
        <v>449</v>
      </c>
      <c r="H379" t="s">
        <v>15</v>
      </c>
      <c r="I379" t="s">
        <v>683</v>
      </c>
    </row>
    <row r="380" spans="1:9" x14ac:dyDescent="0.25">
      <c r="A380" t="s">
        <v>455</v>
      </c>
      <c r="B380" t="s">
        <v>245</v>
      </c>
      <c r="C380" t="s">
        <v>672</v>
      </c>
      <c r="D380">
        <v>11881</v>
      </c>
      <c r="E380" t="s">
        <v>27</v>
      </c>
      <c r="F380" t="s">
        <v>449</v>
      </c>
      <c r="H380" t="s">
        <v>15</v>
      </c>
      <c r="I380" t="s">
        <v>672</v>
      </c>
    </row>
    <row r="381" spans="1:9" x14ac:dyDescent="0.25">
      <c r="A381" t="s">
        <v>456</v>
      </c>
      <c r="B381" t="s">
        <v>43</v>
      </c>
      <c r="C381" t="s">
        <v>673</v>
      </c>
      <c r="D381">
        <v>11869</v>
      </c>
      <c r="E381" t="s">
        <v>12</v>
      </c>
      <c r="F381" t="s">
        <v>449</v>
      </c>
      <c r="H381" t="s">
        <v>15</v>
      </c>
      <c r="I381" t="s">
        <v>671</v>
      </c>
    </row>
    <row r="382" spans="1:9" x14ac:dyDescent="0.25">
      <c r="A382" t="s">
        <v>457</v>
      </c>
      <c r="B382" t="s">
        <v>46</v>
      </c>
      <c r="C382" t="s">
        <v>11</v>
      </c>
      <c r="D382">
        <v>11920</v>
      </c>
      <c r="E382" t="s">
        <v>27</v>
      </c>
      <c r="F382" t="s">
        <v>449</v>
      </c>
      <c r="H382" t="s">
        <v>15</v>
      </c>
      <c r="I382" t="s">
        <v>671</v>
      </c>
    </row>
    <row r="383" spans="1:9" x14ac:dyDescent="0.25">
      <c r="A383" t="s">
        <v>458</v>
      </c>
      <c r="B383" t="s">
        <v>50</v>
      </c>
      <c r="C383" t="s">
        <v>681</v>
      </c>
      <c r="D383">
        <v>11900</v>
      </c>
      <c r="E383" t="s">
        <v>27</v>
      </c>
      <c r="F383" t="s">
        <v>449</v>
      </c>
      <c r="G383" t="s">
        <v>17</v>
      </c>
      <c r="H383" t="s">
        <v>15</v>
      </c>
      <c r="I383" t="s">
        <v>681</v>
      </c>
    </row>
    <row r="384" spans="1:9" x14ac:dyDescent="0.25">
      <c r="A384" t="s">
        <v>459</v>
      </c>
      <c r="B384" t="s">
        <v>50</v>
      </c>
      <c r="C384" t="s">
        <v>681</v>
      </c>
      <c r="D384">
        <v>11900</v>
      </c>
      <c r="E384" t="s">
        <v>27</v>
      </c>
      <c r="F384" t="s">
        <v>449</v>
      </c>
      <c r="G384" t="s">
        <v>14</v>
      </c>
      <c r="H384" t="s">
        <v>15</v>
      </c>
      <c r="I384" t="s">
        <v>681</v>
      </c>
    </row>
    <row r="385" spans="1:9" x14ac:dyDescent="0.25">
      <c r="A385" t="s">
        <v>460</v>
      </c>
      <c r="B385" t="s">
        <v>237</v>
      </c>
      <c r="C385" t="s">
        <v>679</v>
      </c>
      <c r="D385">
        <v>11885</v>
      </c>
      <c r="E385" t="s">
        <v>27</v>
      </c>
      <c r="F385" t="s">
        <v>449</v>
      </c>
      <c r="H385" t="s">
        <v>15</v>
      </c>
      <c r="I385" t="s">
        <v>679</v>
      </c>
    </row>
    <row r="386" spans="1:9" x14ac:dyDescent="0.25">
      <c r="A386" t="s">
        <v>461</v>
      </c>
      <c r="B386" t="s">
        <v>60</v>
      </c>
      <c r="C386" t="s">
        <v>104</v>
      </c>
      <c r="D386">
        <v>11287</v>
      </c>
      <c r="E386" t="s">
        <v>27</v>
      </c>
      <c r="F386" t="s">
        <v>449</v>
      </c>
      <c r="H386" t="s">
        <v>15</v>
      </c>
      <c r="I386" t="s">
        <v>671</v>
      </c>
    </row>
    <row r="387" spans="1:9" x14ac:dyDescent="0.25">
      <c r="A387" t="s">
        <v>462</v>
      </c>
      <c r="B387" t="s">
        <v>112</v>
      </c>
      <c r="C387" t="s">
        <v>11</v>
      </c>
      <c r="D387">
        <v>1406</v>
      </c>
      <c r="E387" t="s">
        <v>12</v>
      </c>
      <c r="F387" t="s">
        <v>449</v>
      </c>
      <c r="H387" t="s">
        <v>113</v>
      </c>
      <c r="I387" t="s">
        <v>671</v>
      </c>
    </row>
    <row r="388" spans="1:9" x14ac:dyDescent="0.25">
      <c r="A388" t="s">
        <v>463</v>
      </c>
      <c r="B388" t="s">
        <v>112</v>
      </c>
      <c r="C388" t="s">
        <v>11</v>
      </c>
      <c r="D388">
        <v>11848</v>
      </c>
      <c r="E388" t="s">
        <v>27</v>
      </c>
      <c r="F388" t="s">
        <v>449</v>
      </c>
      <c r="G388" t="s">
        <v>14</v>
      </c>
      <c r="H388" t="s">
        <v>113</v>
      </c>
      <c r="I388" t="s">
        <v>671</v>
      </c>
    </row>
    <row r="389" spans="1:9" x14ac:dyDescent="0.25">
      <c r="A389" t="s">
        <v>464</v>
      </c>
      <c r="B389" t="s">
        <v>112</v>
      </c>
      <c r="C389" t="s">
        <v>104</v>
      </c>
      <c r="D389">
        <v>11149</v>
      </c>
      <c r="E389" t="s">
        <v>12</v>
      </c>
      <c r="F389" t="s">
        <v>449</v>
      </c>
      <c r="H389" t="s">
        <v>113</v>
      </c>
      <c r="I389" t="s">
        <v>671</v>
      </c>
    </row>
    <row r="390" spans="1:9" x14ac:dyDescent="0.25">
      <c r="A390" t="s">
        <v>465</v>
      </c>
      <c r="B390" t="s">
        <v>122</v>
      </c>
      <c r="C390" t="s">
        <v>84</v>
      </c>
      <c r="D390">
        <v>1319</v>
      </c>
      <c r="E390" t="s">
        <v>12</v>
      </c>
      <c r="F390" t="s">
        <v>449</v>
      </c>
      <c r="H390" t="s">
        <v>15</v>
      </c>
      <c r="I390" t="s">
        <v>680</v>
      </c>
    </row>
    <row r="391" spans="1:9" x14ac:dyDescent="0.25">
      <c r="A391" t="s">
        <v>466</v>
      </c>
      <c r="B391" t="s">
        <v>122</v>
      </c>
      <c r="C391" t="s">
        <v>87</v>
      </c>
      <c r="D391">
        <v>11904</v>
      </c>
      <c r="E391" t="s">
        <v>27</v>
      </c>
      <c r="F391" t="s">
        <v>449</v>
      </c>
      <c r="H391" t="s">
        <v>15</v>
      </c>
      <c r="I391" t="s">
        <v>680</v>
      </c>
    </row>
    <row r="392" spans="1:9" x14ac:dyDescent="0.25">
      <c r="A392" t="s">
        <v>467</v>
      </c>
      <c r="B392" t="s">
        <v>122</v>
      </c>
      <c r="C392" t="s">
        <v>87</v>
      </c>
      <c r="D392">
        <v>11288</v>
      </c>
      <c r="E392" t="s">
        <v>173</v>
      </c>
      <c r="F392" t="s">
        <v>449</v>
      </c>
      <c r="H392" t="s">
        <v>15</v>
      </c>
      <c r="I392" t="s">
        <v>680</v>
      </c>
    </row>
    <row r="393" spans="1:9" x14ac:dyDescent="0.25">
      <c r="A393" t="s">
        <v>468</v>
      </c>
      <c r="B393" t="s">
        <v>122</v>
      </c>
      <c r="C393" t="s">
        <v>136</v>
      </c>
      <c r="D393">
        <v>11748</v>
      </c>
      <c r="E393" t="s">
        <v>173</v>
      </c>
      <c r="F393" t="s">
        <v>449</v>
      </c>
      <c r="H393" t="s">
        <v>15</v>
      </c>
      <c r="I393" t="s">
        <v>683</v>
      </c>
    </row>
    <row r="394" spans="1:9" x14ac:dyDescent="0.25">
      <c r="A394" t="s">
        <v>469</v>
      </c>
      <c r="B394" t="s">
        <v>60</v>
      </c>
      <c r="C394" t="s">
        <v>423</v>
      </c>
      <c r="D394">
        <v>11840</v>
      </c>
      <c r="E394" t="s">
        <v>12</v>
      </c>
      <c r="F394" t="s">
        <v>449</v>
      </c>
      <c r="H394" t="s">
        <v>15</v>
      </c>
      <c r="I394" t="s">
        <v>684</v>
      </c>
    </row>
    <row r="395" spans="1:9" x14ac:dyDescent="0.25">
      <c r="A395" t="s">
        <v>470</v>
      </c>
      <c r="B395" t="s">
        <v>60</v>
      </c>
      <c r="C395" t="s">
        <v>423</v>
      </c>
      <c r="D395">
        <v>11837</v>
      </c>
      <c r="E395" t="s">
        <v>27</v>
      </c>
      <c r="F395" t="s">
        <v>449</v>
      </c>
      <c r="H395" t="s">
        <v>15</v>
      </c>
      <c r="I395" t="s">
        <v>684</v>
      </c>
    </row>
    <row r="396" spans="1:9" x14ac:dyDescent="0.25">
      <c r="A396" t="s">
        <v>471</v>
      </c>
      <c r="B396" t="s">
        <v>60</v>
      </c>
      <c r="C396" t="s">
        <v>672</v>
      </c>
      <c r="D396">
        <v>11810</v>
      </c>
      <c r="E396" t="s">
        <v>12</v>
      </c>
      <c r="F396" t="s">
        <v>449</v>
      </c>
      <c r="H396" t="s">
        <v>15</v>
      </c>
      <c r="I396" t="s">
        <v>672</v>
      </c>
    </row>
    <row r="397" spans="1:9" x14ac:dyDescent="0.25">
      <c r="A397" t="s">
        <v>472</v>
      </c>
      <c r="B397" t="s">
        <v>144</v>
      </c>
      <c r="C397" t="s">
        <v>672</v>
      </c>
      <c r="D397">
        <v>11606</v>
      </c>
      <c r="E397" t="s">
        <v>27</v>
      </c>
      <c r="F397" t="s">
        <v>449</v>
      </c>
      <c r="H397" t="s">
        <v>15</v>
      </c>
      <c r="I397" t="s">
        <v>672</v>
      </c>
    </row>
    <row r="398" spans="1:9" x14ac:dyDescent="0.25">
      <c r="A398" t="s">
        <v>473</v>
      </c>
      <c r="B398" t="s">
        <v>144</v>
      </c>
      <c r="C398" t="s">
        <v>672</v>
      </c>
      <c r="D398">
        <v>11626</v>
      </c>
      <c r="E398" t="s">
        <v>12</v>
      </c>
      <c r="F398" t="s">
        <v>449</v>
      </c>
      <c r="H398" t="s">
        <v>15</v>
      </c>
      <c r="I398" t="s">
        <v>672</v>
      </c>
    </row>
    <row r="399" spans="1:9" x14ac:dyDescent="0.25">
      <c r="A399" t="s">
        <v>474</v>
      </c>
      <c r="B399" t="s">
        <v>168</v>
      </c>
      <c r="C399" t="s">
        <v>679</v>
      </c>
      <c r="D399">
        <v>1558</v>
      </c>
      <c r="E399" t="s">
        <v>12</v>
      </c>
      <c r="F399" t="s">
        <v>449</v>
      </c>
      <c r="H399" t="s">
        <v>15</v>
      </c>
      <c r="I399" t="s">
        <v>679</v>
      </c>
    </row>
    <row r="400" spans="1:9" x14ac:dyDescent="0.25">
      <c r="A400" t="s">
        <v>475</v>
      </c>
      <c r="B400" t="s">
        <v>168</v>
      </c>
      <c r="C400" t="s">
        <v>676</v>
      </c>
      <c r="D400">
        <v>11656</v>
      </c>
      <c r="E400" t="s">
        <v>12</v>
      </c>
      <c r="F400" t="s">
        <v>449</v>
      </c>
      <c r="H400" t="s">
        <v>15</v>
      </c>
      <c r="I400" t="s">
        <v>676</v>
      </c>
    </row>
    <row r="401" spans="1:9" x14ac:dyDescent="0.25">
      <c r="A401" t="s">
        <v>476</v>
      </c>
      <c r="B401" t="s">
        <v>37</v>
      </c>
      <c r="C401" t="s">
        <v>676</v>
      </c>
      <c r="D401">
        <v>11609</v>
      </c>
      <c r="E401" t="s">
        <v>12</v>
      </c>
      <c r="F401" t="s">
        <v>449</v>
      </c>
      <c r="H401" t="s">
        <v>15</v>
      </c>
      <c r="I401" t="s">
        <v>676</v>
      </c>
    </row>
    <row r="402" spans="1:9" x14ac:dyDescent="0.25">
      <c r="A402" t="s">
        <v>477</v>
      </c>
      <c r="B402" t="s">
        <v>168</v>
      </c>
      <c r="C402" t="s">
        <v>677</v>
      </c>
      <c r="D402">
        <v>1281</v>
      </c>
      <c r="E402" t="s">
        <v>27</v>
      </c>
      <c r="F402" t="s">
        <v>449</v>
      </c>
      <c r="H402" t="s">
        <v>15</v>
      </c>
      <c r="I402" t="s">
        <v>677</v>
      </c>
    </row>
    <row r="403" spans="1:9" x14ac:dyDescent="0.25">
      <c r="A403" t="s">
        <v>478</v>
      </c>
      <c r="B403" t="s">
        <v>63</v>
      </c>
      <c r="C403" t="s">
        <v>679</v>
      </c>
      <c r="D403">
        <v>11683</v>
      </c>
      <c r="E403" t="s">
        <v>12</v>
      </c>
      <c r="F403" t="s">
        <v>449</v>
      </c>
      <c r="G403" t="s">
        <v>14</v>
      </c>
      <c r="H403" t="s">
        <v>15</v>
      </c>
      <c r="I403" t="s">
        <v>679</v>
      </c>
    </row>
    <row r="404" spans="1:9" x14ac:dyDescent="0.25">
      <c r="A404" t="s">
        <v>479</v>
      </c>
      <c r="B404" t="s">
        <v>63</v>
      </c>
      <c r="C404" t="s">
        <v>679</v>
      </c>
      <c r="D404">
        <v>11666</v>
      </c>
      <c r="E404" t="s">
        <v>27</v>
      </c>
      <c r="F404" t="s">
        <v>449</v>
      </c>
      <c r="G404" t="s">
        <v>17</v>
      </c>
      <c r="H404" t="s">
        <v>15</v>
      </c>
      <c r="I404" t="s">
        <v>679</v>
      </c>
    </row>
    <row r="405" spans="1:9" x14ac:dyDescent="0.25">
      <c r="A405" t="s">
        <v>480</v>
      </c>
      <c r="B405" t="s">
        <v>63</v>
      </c>
      <c r="C405" t="s">
        <v>679</v>
      </c>
      <c r="D405">
        <v>11666</v>
      </c>
      <c r="E405" t="s">
        <v>27</v>
      </c>
      <c r="F405" t="s">
        <v>449</v>
      </c>
      <c r="G405" t="s">
        <v>14</v>
      </c>
      <c r="H405" t="s">
        <v>15</v>
      </c>
      <c r="I405" t="s">
        <v>679</v>
      </c>
    </row>
    <row r="406" spans="1:9" x14ac:dyDescent="0.25">
      <c r="A406" t="s">
        <v>481</v>
      </c>
      <c r="B406" t="s">
        <v>338</v>
      </c>
      <c r="C406" t="s">
        <v>679</v>
      </c>
      <c r="D406">
        <v>1102</v>
      </c>
      <c r="E406" t="s">
        <v>12</v>
      </c>
      <c r="F406" t="s">
        <v>482</v>
      </c>
      <c r="H406" t="s">
        <v>15</v>
      </c>
      <c r="I406" t="s">
        <v>679</v>
      </c>
    </row>
    <row r="407" spans="1:9" x14ac:dyDescent="0.25">
      <c r="A407" t="s">
        <v>483</v>
      </c>
      <c r="B407" t="s">
        <v>29</v>
      </c>
      <c r="C407" t="s">
        <v>26</v>
      </c>
      <c r="D407">
        <v>11814</v>
      </c>
      <c r="E407" t="s">
        <v>27</v>
      </c>
      <c r="F407" t="s">
        <v>484</v>
      </c>
      <c r="G407" t="s">
        <v>14</v>
      </c>
      <c r="H407" t="s">
        <v>15</v>
      </c>
      <c r="I407" t="s">
        <v>671</v>
      </c>
    </row>
    <row r="408" spans="1:9" x14ac:dyDescent="0.25">
      <c r="A408" t="s">
        <v>485</v>
      </c>
      <c r="B408" t="s">
        <v>29</v>
      </c>
      <c r="C408" t="s">
        <v>26</v>
      </c>
      <c r="D408">
        <v>11815</v>
      </c>
      <c r="E408" t="s">
        <v>12</v>
      </c>
      <c r="F408" t="s">
        <v>484</v>
      </c>
      <c r="H408" t="s">
        <v>15</v>
      </c>
      <c r="I408" t="s">
        <v>671</v>
      </c>
    </row>
    <row r="409" spans="1:9" x14ac:dyDescent="0.25">
      <c r="A409" t="s">
        <v>486</v>
      </c>
      <c r="B409" t="s">
        <v>50</v>
      </c>
      <c r="C409" t="s">
        <v>679</v>
      </c>
      <c r="D409">
        <v>11834</v>
      </c>
      <c r="E409" t="s">
        <v>27</v>
      </c>
      <c r="F409" t="s">
        <v>484</v>
      </c>
      <c r="H409" t="s">
        <v>15</v>
      </c>
      <c r="I409" t="s">
        <v>679</v>
      </c>
    </row>
    <row r="410" spans="1:9" x14ac:dyDescent="0.25">
      <c r="A410" t="s">
        <v>487</v>
      </c>
      <c r="B410" t="s">
        <v>144</v>
      </c>
      <c r="C410" t="s">
        <v>678</v>
      </c>
      <c r="D410">
        <v>1115</v>
      </c>
      <c r="E410" t="s">
        <v>173</v>
      </c>
      <c r="F410" t="s">
        <v>488</v>
      </c>
      <c r="G410" t="s">
        <v>14</v>
      </c>
      <c r="H410" t="s">
        <v>15</v>
      </c>
      <c r="I410" t="s">
        <v>678</v>
      </c>
    </row>
    <row r="411" spans="1:9" x14ac:dyDescent="0.25">
      <c r="A411" t="s">
        <v>489</v>
      </c>
      <c r="B411" t="s">
        <v>144</v>
      </c>
      <c r="C411" t="s">
        <v>674</v>
      </c>
      <c r="D411">
        <v>1107</v>
      </c>
      <c r="E411" t="s">
        <v>173</v>
      </c>
      <c r="F411" t="s">
        <v>488</v>
      </c>
      <c r="G411" t="s">
        <v>14</v>
      </c>
      <c r="H411" t="s">
        <v>15</v>
      </c>
      <c r="I411" t="s">
        <v>674</v>
      </c>
    </row>
    <row r="412" spans="1:9" x14ac:dyDescent="0.25">
      <c r="A412" t="s">
        <v>490</v>
      </c>
      <c r="B412" t="s">
        <v>10</v>
      </c>
      <c r="C412" t="s">
        <v>11</v>
      </c>
      <c r="D412">
        <v>11823</v>
      </c>
      <c r="E412" t="s">
        <v>27</v>
      </c>
      <c r="F412" t="s">
        <v>491</v>
      </c>
      <c r="H412" t="s">
        <v>15</v>
      </c>
      <c r="I412" t="s">
        <v>671</v>
      </c>
    </row>
    <row r="413" spans="1:9" x14ac:dyDescent="0.25">
      <c r="A413" t="s">
        <v>492</v>
      </c>
      <c r="B413" t="s">
        <v>10</v>
      </c>
      <c r="C413" t="s">
        <v>11</v>
      </c>
      <c r="D413">
        <v>11826</v>
      </c>
      <c r="E413" t="s">
        <v>12</v>
      </c>
      <c r="F413" t="s">
        <v>491</v>
      </c>
      <c r="H413" t="s">
        <v>15</v>
      </c>
      <c r="I413" t="s">
        <v>671</v>
      </c>
    </row>
    <row r="414" spans="1:9" x14ac:dyDescent="0.25">
      <c r="A414" t="s">
        <v>493</v>
      </c>
      <c r="B414" t="s">
        <v>10</v>
      </c>
      <c r="C414" t="s">
        <v>11</v>
      </c>
      <c r="D414">
        <v>11827</v>
      </c>
      <c r="E414" t="s">
        <v>12</v>
      </c>
      <c r="F414" t="s">
        <v>491</v>
      </c>
      <c r="H414" t="s">
        <v>15</v>
      </c>
      <c r="I414" t="s">
        <v>671</v>
      </c>
    </row>
    <row r="415" spans="1:9" x14ac:dyDescent="0.25">
      <c r="A415" t="s">
        <v>494</v>
      </c>
      <c r="B415" t="s">
        <v>20</v>
      </c>
      <c r="C415" t="s">
        <v>11</v>
      </c>
      <c r="D415">
        <v>11846</v>
      </c>
      <c r="E415" t="s">
        <v>12</v>
      </c>
      <c r="F415" t="s">
        <v>491</v>
      </c>
      <c r="H415" t="s">
        <v>15</v>
      </c>
      <c r="I415" t="s">
        <v>671</v>
      </c>
    </row>
    <row r="416" spans="1:9" x14ac:dyDescent="0.25">
      <c r="A416" t="s">
        <v>495</v>
      </c>
      <c r="B416" t="s">
        <v>20</v>
      </c>
      <c r="C416" t="s">
        <v>11</v>
      </c>
      <c r="D416">
        <v>11884</v>
      </c>
      <c r="E416" t="s">
        <v>12</v>
      </c>
      <c r="F416" t="s">
        <v>491</v>
      </c>
      <c r="H416" t="s">
        <v>15</v>
      </c>
      <c r="I416" t="s">
        <v>671</v>
      </c>
    </row>
    <row r="417" spans="1:9" x14ac:dyDescent="0.25">
      <c r="A417" t="s">
        <v>496</v>
      </c>
      <c r="B417" t="s">
        <v>20</v>
      </c>
      <c r="C417" t="s">
        <v>11</v>
      </c>
      <c r="D417">
        <v>11918</v>
      </c>
      <c r="E417" t="s">
        <v>12</v>
      </c>
      <c r="F417" t="s">
        <v>491</v>
      </c>
      <c r="H417" t="s">
        <v>15</v>
      </c>
      <c r="I417" t="s">
        <v>671</v>
      </c>
    </row>
    <row r="418" spans="1:9" x14ac:dyDescent="0.25">
      <c r="A418" t="s">
        <v>497</v>
      </c>
      <c r="B418" t="s">
        <v>25</v>
      </c>
      <c r="C418" t="s">
        <v>26</v>
      </c>
      <c r="D418">
        <v>11828</v>
      </c>
      <c r="E418" t="s">
        <v>12</v>
      </c>
      <c r="F418" t="s">
        <v>491</v>
      </c>
      <c r="H418" t="s">
        <v>15</v>
      </c>
      <c r="I418" t="s">
        <v>671</v>
      </c>
    </row>
    <row r="419" spans="1:9" x14ac:dyDescent="0.25">
      <c r="A419" t="s">
        <v>498</v>
      </c>
      <c r="B419" t="s">
        <v>25</v>
      </c>
      <c r="C419" t="s">
        <v>26</v>
      </c>
      <c r="D419">
        <v>11829</v>
      </c>
      <c r="E419" t="s">
        <v>27</v>
      </c>
      <c r="F419" t="s">
        <v>491</v>
      </c>
      <c r="H419" t="s">
        <v>15</v>
      </c>
      <c r="I419" t="s">
        <v>671</v>
      </c>
    </row>
    <row r="420" spans="1:9" x14ac:dyDescent="0.25">
      <c r="A420" t="s">
        <v>499</v>
      </c>
      <c r="B420" t="s">
        <v>25</v>
      </c>
      <c r="C420" t="s">
        <v>26</v>
      </c>
      <c r="D420">
        <v>11831</v>
      </c>
      <c r="E420" t="s">
        <v>27</v>
      </c>
      <c r="F420" t="s">
        <v>491</v>
      </c>
      <c r="H420" t="s">
        <v>15</v>
      </c>
      <c r="I420" t="s">
        <v>671</v>
      </c>
    </row>
    <row r="421" spans="1:9" x14ac:dyDescent="0.25">
      <c r="A421" t="s">
        <v>500</v>
      </c>
      <c r="B421" t="s">
        <v>237</v>
      </c>
      <c r="C421" t="s">
        <v>26</v>
      </c>
      <c r="D421">
        <v>11858</v>
      </c>
      <c r="E421" t="s">
        <v>27</v>
      </c>
      <c r="F421" t="s">
        <v>491</v>
      </c>
      <c r="H421" t="s">
        <v>15</v>
      </c>
      <c r="I421" t="s">
        <v>671</v>
      </c>
    </row>
    <row r="422" spans="1:9" x14ac:dyDescent="0.25">
      <c r="A422" t="s">
        <v>501</v>
      </c>
      <c r="B422" t="s">
        <v>25</v>
      </c>
      <c r="C422" t="s">
        <v>26</v>
      </c>
      <c r="D422">
        <v>11871</v>
      </c>
      <c r="E422" t="s">
        <v>12</v>
      </c>
      <c r="F422" t="s">
        <v>491</v>
      </c>
      <c r="H422" t="s">
        <v>15</v>
      </c>
      <c r="I422" t="s">
        <v>671</v>
      </c>
    </row>
    <row r="423" spans="1:9" x14ac:dyDescent="0.25">
      <c r="A423" t="s">
        <v>502</v>
      </c>
      <c r="B423" t="s">
        <v>76</v>
      </c>
      <c r="C423" t="s">
        <v>26</v>
      </c>
      <c r="D423">
        <v>11878</v>
      </c>
      <c r="E423" t="s">
        <v>12</v>
      </c>
      <c r="F423" t="s">
        <v>491</v>
      </c>
      <c r="G423" t="s">
        <v>14</v>
      </c>
      <c r="H423" t="s">
        <v>15</v>
      </c>
      <c r="I423" t="s">
        <v>671</v>
      </c>
    </row>
    <row r="424" spans="1:9" x14ac:dyDescent="0.25">
      <c r="A424" t="s">
        <v>503</v>
      </c>
      <c r="B424" t="s">
        <v>237</v>
      </c>
      <c r="C424" t="s">
        <v>672</v>
      </c>
      <c r="D424">
        <v>11845</v>
      </c>
      <c r="E424" t="s">
        <v>27</v>
      </c>
      <c r="F424" t="s">
        <v>491</v>
      </c>
      <c r="H424" t="s">
        <v>15</v>
      </c>
      <c r="I424" t="s">
        <v>672</v>
      </c>
    </row>
    <row r="425" spans="1:9" x14ac:dyDescent="0.25">
      <c r="A425" t="s">
        <v>504</v>
      </c>
      <c r="B425" t="s">
        <v>237</v>
      </c>
      <c r="C425" t="s">
        <v>672</v>
      </c>
      <c r="D425">
        <v>11851</v>
      </c>
      <c r="E425" t="s">
        <v>12</v>
      </c>
      <c r="F425" t="s">
        <v>491</v>
      </c>
      <c r="H425" t="s">
        <v>15</v>
      </c>
      <c r="I425" t="s">
        <v>672</v>
      </c>
    </row>
    <row r="426" spans="1:9" x14ac:dyDescent="0.25">
      <c r="A426" t="s">
        <v>505</v>
      </c>
      <c r="B426" t="s">
        <v>34</v>
      </c>
      <c r="C426" t="s">
        <v>672</v>
      </c>
      <c r="D426">
        <v>11873</v>
      </c>
      <c r="E426" t="s">
        <v>12</v>
      </c>
      <c r="F426" t="s">
        <v>491</v>
      </c>
      <c r="H426" t="s">
        <v>15</v>
      </c>
      <c r="I426" t="s">
        <v>672</v>
      </c>
    </row>
    <row r="427" spans="1:9" x14ac:dyDescent="0.25">
      <c r="A427" t="s">
        <v>506</v>
      </c>
      <c r="B427" t="s">
        <v>34</v>
      </c>
      <c r="C427" t="s">
        <v>672</v>
      </c>
      <c r="D427">
        <v>11912</v>
      </c>
      <c r="E427" t="s">
        <v>27</v>
      </c>
      <c r="F427" t="s">
        <v>491</v>
      </c>
      <c r="H427" t="s">
        <v>15</v>
      </c>
      <c r="I427" t="s">
        <v>672</v>
      </c>
    </row>
    <row r="428" spans="1:9" x14ac:dyDescent="0.25">
      <c r="A428" t="s">
        <v>507</v>
      </c>
      <c r="B428" t="s">
        <v>168</v>
      </c>
      <c r="C428" t="s">
        <v>673</v>
      </c>
      <c r="D428">
        <v>11832</v>
      </c>
      <c r="E428" t="s">
        <v>12</v>
      </c>
      <c r="F428" t="s">
        <v>491</v>
      </c>
      <c r="H428" t="s">
        <v>15</v>
      </c>
      <c r="I428" t="s">
        <v>671</v>
      </c>
    </row>
    <row r="429" spans="1:9" x14ac:dyDescent="0.25">
      <c r="A429" t="s">
        <v>508</v>
      </c>
      <c r="B429" t="s">
        <v>40</v>
      </c>
      <c r="C429" t="s">
        <v>673</v>
      </c>
      <c r="D429">
        <v>11830</v>
      </c>
      <c r="E429" t="s">
        <v>12</v>
      </c>
      <c r="F429" t="s">
        <v>491</v>
      </c>
      <c r="H429" t="s">
        <v>15</v>
      </c>
      <c r="I429" t="s">
        <v>671</v>
      </c>
    </row>
    <row r="430" spans="1:9" x14ac:dyDescent="0.25">
      <c r="A430" t="s">
        <v>509</v>
      </c>
      <c r="B430" t="s">
        <v>46</v>
      </c>
      <c r="C430" t="s">
        <v>674</v>
      </c>
      <c r="D430">
        <v>11907</v>
      </c>
      <c r="E430" t="s">
        <v>12</v>
      </c>
      <c r="F430" t="s">
        <v>491</v>
      </c>
      <c r="G430" t="s">
        <v>14</v>
      </c>
      <c r="H430" t="s">
        <v>15</v>
      </c>
      <c r="I430" t="s">
        <v>674</v>
      </c>
    </row>
    <row r="431" spans="1:9" x14ac:dyDescent="0.25">
      <c r="A431" t="s">
        <v>510</v>
      </c>
      <c r="B431" t="s">
        <v>511</v>
      </c>
      <c r="C431" t="s">
        <v>675</v>
      </c>
      <c r="D431">
        <v>1923</v>
      </c>
      <c r="E431" t="s">
        <v>12</v>
      </c>
      <c r="F431" t="s">
        <v>491</v>
      </c>
      <c r="H431" t="s">
        <v>15</v>
      </c>
      <c r="I431" t="s">
        <v>675</v>
      </c>
    </row>
    <row r="432" spans="1:9" x14ac:dyDescent="0.25">
      <c r="A432" t="s">
        <v>512</v>
      </c>
      <c r="B432" t="s">
        <v>511</v>
      </c>
      <c r="C432" t="s">
        <v>675</v>
      </c>
      <c r="D432">
        <v>1923</v>
      </c>
      <c r="E432" t="s">
        <v>12</v>
      </c>
      <c r="F432" t="s">
        <v>491</v>
      </c>
      <c r="H432" t="s">
        <v>15</v>
      </c>
      <c r="I432" t="s">
        <v>675</v>
      </c>
    </row>
    <row r="433" spans="1:9" x14ac:dyDescent="0.25">
      <c r="A433" t="s">
        <v>513</v>
      </c>
      <c r="B433" t="s">
        <v>53</v>
      </c>
      <c r="C433" t="s">
        <v>676</v>
      </c>
      <c r="D433">
        <v>11833</v>
      </c>
      <c r="E433" t="s">
        <v>12</v>
      </c>
      <c r="F433" t="s">
        <v>491</v>
      </c>
      <c r="H433" t="s">
        <v>15</v>
      </c>
      <c r="I433" t="s">
        <v>676</v>
      </c>
    </row>
    <row r="434" spans="1:9" x14ac:dyDescent="0.25">
      <c r="A434" t="s">
        <v>514</v>
      </c>
      <c r="B434" t="s">
        <v>56</v>
      </c>
      <c r="C434" t="s">
        <v>676</v>
      </c>
      <c r="D434">
        <v>11930</v>
      </c>
      <c r="E434" t="s">
        <v>12</v>
      </c>
      <c r="F434" t="s">
        <v>491</v>
      </c>
      <c r="H434" t="s">
        <v>15</v>
      </c>
      <c r="I434" t="s">
        <v>676</v>
      </c>
    </row>
    <row r="435" spans="1:9" x14ac:dyDescent="0.25">
      <c r="A435" t="s">
        <v>515</v>
      </c>
      <c r="B435" t="s">
        <v>56</v>
      </c>
      <c r="C435" t="s">
        <v>677</v>
      </c>
      <c r="D435">
        <v>11841</v>
      </c>
      <c r="E435" t="s">
        <v>27</v>
      </c>
      <c r="F435" t="s">
        <v>491</v>
      </c>
      <c r="H435" t="s">
        <v>15</v>
      </c>
      <c r="I435" t="s">
        <v>677</v>
      </c>
    </row>
    <row r="436" spans="1:9" x14ac:dyDescent="0.25">
      <c r="A436" t="s">
        <v>516</v>
      </c>
      <c r="B436" t="s">
        <v>56</v>
      </c>
      <c r="C436" t="s">
        <v>675</v>
      </c>
      <c r="D436">
        <v>11947</v>
      </c>
      <c r="E436" t="s">
        <v>12</v>
      </c>
      <c r="F436" t="s">
        <v>491</v>
      </c>
      <c r="H436" t="s">
        <v>15</v>
      </c>
      <c r="I436" t="s">
        <v>675</v>
      </c>
    </row>
    <row r="437" spans="1:9" x14ac:dyDescent="0.25">
      <c r="A437" t="s">
        <v>517</v>
      </c>
      <c r="B437" t="s">
        <v>168</v>
      </c>
      <c r="C437" t="s">
        <v>677</v>
      </c>
      <c r="D437">
        <v>1890</v>
      </c>
      <c r="E437" t="s">
        <v>173</v>
      </c>
      <c r="F437" t="s">
        <v>491</v>
      </c>
      <c r="H437" t="s">
        <v>15</v>
      </c>
      <c r="I437" t="s">
        <v>677</v>
      </c>
    </row>
    <row r="438" spans="1:9" x14ac:dyDescent="0.25">
      <c r="A438" t="s">
        <v>518</v>
      </c>
      <c r="B438" t="s">
        <v>10</v>
      </c>
      <c r="C438" t="s">
        <v>11</v>
      </c>
      <c r="D438">
        <v>1406</v>
      </c>
      <c r="E438" t="s">
        <v>12</v>
      </c>
      <c r="F438" t="s">
        <v>519</v>
      </c>
      <c r="H438" t="s">
        <v>15</v>
      </c>
      <c r="I438" t="s">
        <v>671</v>
      </c>
    </row>
    <row r="439" spans="1:9" x14ac:dyDescent="0.25">
      <c r="A439" t="s">
        <v>520</v>
      </c>
      <c r="B439" t="s">
        <v>10</v>
      </c>
      <c r="C439" t="s">
        <v>11</v>
      </c>
      <c r="D439">
        <v>11823</v>
      </c>
      <c r="E439" t="s">
        <v>27</v>
      </c>
      <c r="F439" t="s">
        <v>519</v>
      </c>
      <c r="H439" t="s">
        <v>15</v>
      </c>
      <c r="I439" t="s">
        <v>671</v>
      </c>
    </row>
    <row r="440" spans="1:9" x14ac:dyDescent="0.25">
      <c r="A440" t="s">
        <v>521</v>
      </c>
      <c r="B440" t="s">
        <v>10</v>
      </c>
      <c r="C440" t="s">
        <v>11</v>
      </c>
      <c r="D440">
        <v>11826</v>
      </c>
      <c r="E440" t="s">
        <v>12</v>
      </c>
      <c r="F440" t="s">
        <v>519</v>
      </c>
      <c r="H440" t="s">
        <v>15</v>
      </c>
      <c r="I440" t="s">
        <v>671</v>
      </c>
    </row>
    <row r="441" spans="1:9" x14ac:dyDescent="0.25">
      <c r="A441" t="s">
        <v>522</v>
      </c>
      <c r="B441" t="s">
        <v>10</v>
      </c>
      <c r="C441" t="s">
        <v>11</v>
      </c>
      <c r="D441">
        <v>11827</v>
      </c>
      <c r="E441" t="s">
        <v>12</v>
      </c>
      <c r="F441" t="s">
        <v>519</v>
      </c>
      <c r="H441" t="s">
        <v>15</v>
      </c>
      <c r="I441" t="s">
        <v>671</v>
      </c>
    </row>
    <row r="442" spans="1:9" x14ac:dyDescent="0.25">
      <c r="A442" t="s">
        <v>523</v>
      </c>
      <c r="B442" t="s">
        <v>20</v>
      </c>
      <c r="C442" t="s">
        <v>11</v>
      </c>
      <c r="D442">
        <v>11846</v>
      </c>
      <c r="E442" t="s">
        <v>12</v>
      </c>
      <c r="F442" t="s">
        <v>519</v>
      </c>
      <c r="H442" t="s">
        <v>15</v>
      </c>
      <c r="I442" t="s">
        <v>671</v>
      </c>
    </row>
    <row r="443" spans="1:9" x14ac:dyDescent="0.25">
      <c r="A443" t="s">
        <v>524</v>
      </c>
      <c r="B443" t="s">
        <v>25</v>
      </c>
      <c r="C443" t="s">
        <v>11</v>
      </c>
      <c r="D443">
        <v>11848</v>
      </c>
      <c r="E443" t="s">
        <v>27</v>
      </c>
      <c r="F443" t="s">
        <v>519</v>
      </c>
      <c r="G443" t="s">
        <v>14</v>
      </c>
      <c r="H443" t="s">
        <v>15</v>
      </c>
      <c r="I443" t="s">
        <v>671</v>
      </c>
    </row>
    <row r="444" spans="1:9" x14ac:dyDescent="0.25">
      <c r="A444" t="s">
        <v>525</v>
      </c>
      <c r="B444" t="s">
        <v>20</v>
      </c>
      <c r="C444" t="s">
        <v>11</v>
      </c>
      <c r="D444">
        <v>11848</v>
      </c>
      <c r="E444" t="s">
        <v>27</v>
      </c>
      <c r="F444" t="s">
        <v>519</v>
      </c>
      <c r="G444" t="s">
        <v>17</v>
      </c>
      <c r="H444" t="s">
        <v>15</v>
      </c>
      <c r="I444" t="s">
        <v>671</v>
      </c>
    </row>
    <row r="445" spans="1:9" x14ac:dyDescent="0.25">
      <c r="A445" t="s">
        <v>526</v>
      </c>
      <c r="B445" t="s">
        <v>20</v>
      </c>
      <c r="C445" t="s">
        <v>11</v>
      </c>
      <c r="D445">
        <v>11884</v>
      </c>
      <c r="E445" t="s">
        <v>12</v>
      </c>
      <c r="F445" t="s">
        <v>519</v>
      </c>
      <c r="H445" t="s">
        <v>15</v>
      </c>
      <c r="I445" t="s">
        <v>671</v>
      </c>
    </row>
    <row r="446" spans="1:9" x14ac:dyDescent="0.25">
      <c r="A446" t="s">
        <v>527</v>
      </c>
      <c r="B446" t="s">
        <v>20</v>
      </c>
      <c r="C446" t="s">
        <v>11</v>
      </c>
      <c r="D446">
        <v>11918</v>
      </c>
      <c r="E446" t="s">
        <v>12</v>
      </c>
      <c r="F446" t="s">
        <v>519</v>
      </c>
      <c r="H446" t="s">
        <v>15</v>
      </c>
      <c r="I446" t="s">
        <v>671</v>
      </c>
    </row>
    <row r="447" spans="1:9" x14ac:dyDescent="0.25">
      <c r="A447" t="s">
        <v>528</v>
      </c>
      <c r="B447" t="s">
        <v>29</v>
      </c>
      <c r="C447" t="s">
        <v>26</v>
      </c>
      <c r="D447">
        <v>11814</v>
      </c>
      <c r="E447" t="s">
        <v>27</v>
      </c>
      <c r="F447" t="s">
        <v>519</v>
      </c>
      <c r="G447" t="s">
        <v>14</v>
      </c>
      <c r="H447" t="s">
        <v>15</v>
      </c>
      <c r="I447" t="s">
        <v>671</v>
      </c>
    </row>
    <row r="448" spans="1:9" x14ac:dyDescent="0.25">
      <c r="A448" t="s">
        <v>529</v>
      </c>
      <c r="B448" t="s">
        <v>10</v>
      </c>
      <c r="C448" t="s">
        <v>26</v>
      </c>
      <c r="D448">
        <v>11815</v>
      </c>
      <c r="E448" t="s">
        <v>12</v>
      </c>
      <c r="F448" t="s">
        <v>519</v>
      </c>
      <c r="H448" t="s">
        <v>15</v>
      </c>
      <c r="I448" t="s">
        <v>671</v>
      </c>
    </row>
    <row r="449" spans="1:9" x14ac:dyDescent="0.25">
      <c r="A449" t="s">
        <v>530</v>
      </c>
      <c r="B449" t="s">
        <v>25</v>
      </c>
      <c r="C449" t="s">
        <v>672</v>
      </c>
      <c r="D449">
        <v>11820</v>
      </c>
      <c r="E449" t="s">
        <v>12</v>
      </c>
      <c r="F449" t="s">
        <v>519</v>
      </c>
      <c r="G449" t="s">
        <v>14</v>
      </c>
      <c r="H449" t="s">
        <v>15</v>
      </c>
      <c r="I449" t="s">
        <v>672</v>
      </c>
    </row>
    <row r="450" spans="1:9" x14ac:dyDescent="0.25">
      <c r="A450" t="s">
        <v>531</v>
      </c>
      <c r="B450" t="s">
        <v>25</v>
      </c>
      <c r="C450" t="s">
        <v>26</v>
      </c>
      <c r="D450">
        <v>11828</v>
      </c>
      <c r="E450" t="s">
        <v>12</v>
      </c>
      <c r="F450" t="s">
        <v>519</v>
      </c>
      <c r="H450" t="s">
        <v>15</v>
      </c>
      <c r="I450" t="s">
        <v>671</v>
      </c>
    </row>
    <row r="451" spans="1:9" x14ac:dyDescent="0.25">
      <c r="A451" t="s">
        <v>532</v>
      </c>
      <c r="B451" t="s">
        <v>25</v>
      </c>
      <c r="C451" t="s">
        <v>26</v>
      </c>
      <c r="D451">
        <v>11829</v>
      </c>
      <c r="E451" t="s">
        <v>27</v>
      </c>
      <c r="F451" t="s">
        <v>519</v>
      </c>
      <c r="H451" t="s">
        <v>15</v>
      </c>
      <c r="I451" t="s">
        <v>671</v>
      </c>
    </row>
    <row r="452" spans="1:9" x14ac:dyDescent="0.25">
      <c r="A452" t="s">
        <v>533</v>
      </c>
      <c r="B452" t="s">
        <v>25</v>
      </c>
      <c r="C452" t="s">
        <v>26</v>
      </c>
      <c r="D452">
        <v>11831</v>
      </c>
      <c r="E452" t="s">
        <v>27</v>
      </c>
      <c r="F452" t="s">
        <v>519</v>
      </c>
      <c r="H452" t="s">
        <v>15</v>
      </c>
      <c r="I452" t="s">
        <v>671</v>
      </c>
    </row>
    <row r="453" spans="1:9" x14ac:dyDescent="0.25">
      <c r="A453" t="s">
        <v>534</v>
      </c>
      <c r="B453" t="s">
        <v>76</v>
      </c>
      <c r="C453" t="s">
        <v>26</v>
      </c>
      <c r="D453">
        <v>11858</v>
      </c>
      <c r="E453" t="s">
        <v>27</v>
      </c>
      <c r="F453" t="s">
        <v>519</v>
      </c>
      <c r="H453" t="s">
        <v>15</v>
      </c>
      <c r="I453" t="s">
        <v>671</v>
      </c>
    </row>
    <row r="454" spans="1:9" x14ac:dyDescent="0.25">
      <c r="A454" t="s">
        <v>535</v>
      </c>
      <c r="B454" t="s">
        <v>237</v>
      </c>
      <c r="C454" t="s">
        <v>26</v>
      </c>
      <c r="D454">
        <v>11865</v>
      </c>
      <c r="E454" t="s">
        <v>27</v>
      </c>
      <c r="F454" t="s">
        <v>519</v>
      </c>
      <c r="H454" t="s">
        <v>15</v>
      </c>
      <c r="I454" t="s">
        <v>671</v>
      </c>
    </row>
    <row r="455" spans="1:9" x14ac:dyDescent="0.25">
      <c r="A455" t="s">
        <v>536</v>
      </c>
      <c r="B455" t="s">
        <v>25</v>
      </c>
      <c r="C455" t="s">
        <v>26</v>
      </c>
      <c r="D455">
        <v>11878</v>
      </c>
      <c r="E455" t="s">
        <v>12</v>
      </c>
      <c r="F455" t="s">
        <v>519</v>
      </c>
      <c r="H455" t="s">
        <v>15</v>
      </c>
      <c r="I455" t="s">
        <v>671</v>
      </c>
    </row>
    <row r="456" spans="1:9" x14ac:dyDescent="0.25">
      <c r="A456" t="s">
        <v>537</v>
      </c>
      <c r="B456" t="s">
        <v>76</v>
      </c>
      <c r="C456" t="s">
        <v>87</v>
      </c>
      <c r="D456">
        <v>11904</v>
      </c>
      <c r="E456" t="s">
        <v>27</v>
      </c>
      <c r="F456" t="s">
        <v>519</v>
      </c>
      <c r="H456" t="s">
        <v>15</v>
      </c>
      <c r="I456" t="s">
        <v>680</v>
      </c>
    </row>
    <row r="457" spans="1:9" x14ac:dyDescent="0.25">
      <c r="A457" t="s">
        <v>538</v>
      </c>
      <c r="B457" t="s">
        <v>76</v>
      </c>
      <c r="C457" t="s">
        <v>136</v>
      </c>
      <c r="D457">
        <v>11931</v>
      </c>
      <c r="E457" t="s">
        <v>173</v>
      </c>
      <c r="F457" t="s">
        <v>519</v>
      </c>
      <c r="H457" t="s">
        <v>15</v>
      </c>
      <c r="I457" t="s">
        <v>683</v>
      </c>
    </row>
    <row r="458" spans="1:9" x14ac:dyDescent="0.25">
      <c r="A458" t="s">
        <v>539</v>
      </c>
      <c r="B458" t="s">
        <v>76</v>
      </c>
      <c r="C458" t="s">
        <v>423</v>
      </c>
      <c r="D458">
        <v>11840</v>
      </c>
      <c r="E458" t="s">
        <v>12</v>
      </c>
      <c r="F458" t="s">
        <v>519</v>
      </c>
      <c r="H458" t="s">
        <v>15</v>
      </c>
      <c r="I458" t="s">
        <v>684</v>
      </c>
    </row>
    <row r="459" spans="1:9" x14ac:dyDescent="0.25">
      <c r="A459" t="s">
        <v>540</v>
      </c>
      <c r="B459" t="s">
        <v>76</v>
      </c>
      <c r="C459" t="s">
        <v>423</v>
      </c>
      <c r="D459">
        <v>11837</v>
      </c>
      <c r="E459" t="s">
        <v>27</v>
      </c>
      <c r="F459" t="s">
        <v>519</v>
      </c>
      <c r="H459" t="s">
        <v>15</v>
      </c>
      <c r="I459" t="s">
        <v>684</v>
      </c>
    </row>
    <row r="460" spans="1:9" x14ac:dyDescent="0.25">
      <c r="A460" t="s">
        <v>541</v>
      </c>
      <c r="B460" t="s">
        <v>264</v>
      </c>
      <c r="C460" t="s">
        <v>672</v>
      </c>
      <c r="D460">
        <v>11810</v>
      </c>
      <c r="E460" t="s">
        <v>12</v>
      </c>
      <c r="F460" t="s">
        <v>519</v>
      </c>
      <c r="H460" t="s">
        <v>15</v>
      </c>
      <c r="I460" t="s">
        <v>672</v>
      </c>
    </row>
    <row r="461" spans="1:9" x14ac:dyDescent="0.25">
      <c r="A461" t="s">
        <v>542</v>
      </c>
      <c r="B461" t="s">
        <v>237</v>
      </c>
      <c r="C461" t="s">
        <v>672</v>
      </c>
      <c r="D461">
        <v>11845</v>
      </c>
      <c r="E461" t="s">
        <v>27</v>
      </c>
      <c r="F461" t="s">
        <v>519</v>
      </c>
      <c r="H461" t="s">
        <v>15</v>
      </c>
      <c r="I461" t="s">
        <v>672</v>
      </c>
    </row>
    <row r="462" spans="1:9" x14ac:dyDescent="0.25">
      <c r="A462" t="s">
        <v>543</v>
      </c>
      <c r="B462" t="s">
        <v>168</v>
      </c>
      <c r="C462" t="s">
        <v>672</v>
      </c>
      <c r="D462">
        <v>11851</v>
      </c>
      <c r="E462" t="s">
        <v>12</v>
      </c>
      <c r="F462" t="s">
        <v>519</v>
      </c>
      <c r="H462" t="s">
        <v>15</v>
      </c>
      <c r="I462" t="s">
        <v>672</v>
      </c>
    </row>
    <row r="463" spans="1:9" x14ac:dyDescent="0.25">
      <c r="A463" t="s">
        <v>544</v>
      </c>
      <c r="B463" t="s">
        <v>34</v>
      </c>
      <c r="C463" t="s">
        <v>672</v>
      </c>
      <c r="D463">
        <v>11873</v>
      </c>
      <c r="E463" t="s">
        <v>12</v>
      </c>
      <c r="F463" t="s">
        <v>519</v>
      </c>
      <c r="H463" t="s">
        <v>15</v>
      </c>
      <c r="I463" t="s">
        <v>672</v>
      </c>
    </row>
    <row r="464" spans="1:9" x14ac:dyDescent="0.25">
      <c r="A464" t="s">
        <v>545</v>
      </c>
      <c r="B464" t="s">
        <v>34</v>
      </c>
      <c r="C464" t="s">
        <v>672</v>
      </c>
      <c r="D464">
        <v>11606</v>
      </c>
      <c r="E464" t="s">
        <v>27</v>
      </c>
      <c r="F464" t="s">
        <v>519</v>
      </c>
      <c r="H464" t="s">
        <v>15</v>
      </c>
      <c r="I464" t="s">
        <v>672</v>
      </c>
    </row>
    <row r="465" spans="1:9" x14ac:dyDescent="0.25">
      <c r="A465" t="s">
        <v>546</v>
      </c>
      <c r="B465" t="s">
        <v>34</v>
      </c>
      <c r="C465" t="s">
        <v>672</v>
      </c>
      <c r="D465">
        <v>11912</v>
      </c>
      <c r="E465" t="s">
        <v>27</v>
      </c>
      <c r="F465" t="s">
        <v>519</v>
      </c>
      <c r="H465" t="s">
        <v>15</v>
      </c>
      <c r="I465" t="s">
        <v>672</v>
      </c>
    </row>
    <row r="466" spans="1:9" x14ac:dyDescent="0.25">
      <c r="A466" t="s">
        <v>547</v>
      </c>
      <c r="B466" t="s">
        <v>34</v>
      </c>
      <c r="C466" t="s">
        <v>672</v>
      </c>
      <c r="D466">
        <v>11874</v>
      </c>
      <c r="E466" t="s">
        <v>27</v>
      </c>
      <c r="F466" t="s">
        <v>519</v>
      </c>
      <c r="H466" t="s">
        <v>15</v>
      </c>
      <c r="I466" t="s">
        <v>672</v>
      </c>
    </row>
    <row r="467" spans="1:9" x14ac:dyDescent="0.25">
      <c r="A467" t="s">
        <v>548</v>
      </c>
      <c r="B467" t="s">
        <v>168</v>
      </c>
      <c r="C467" t="s">
        <v>673</v>
      </c>
      <c r="D467">
        <v>11832</v>
      </c>
      <c r="E467" t="s">
        <v>12</v>
      </c>
      <c r="F467" t="s">
        <v>519</v>
      </c>
      <c r="H467" t="s">
        <v>15</v>
      </c>
      <c r="I467" t="s">
        <v>671</v>
      </c>
    </row>
    <row r="468" spans="1:9" x14ac:dyDescent="0.25">
      <c r="A468" t="s">
        <v>549</v>
      </c>
      <c r="B468" t="s">
        <v>40</v>
      </c>
      <c r="C468" t="s">
        <v>673</v>
      </c>
      <c r="D468">
        <v>11830</v>
      </c>
      <c r="E468" t="s">
        <v>12</v>
      </c>
      <c r="F468" t="s">
        <v>519</v>
      </c>
      <c r="H468" t="s">
        <v>15</v>
      </c>
      <c r="I468" t="s">
        <v>671</v>
      </c>
    </row>
    <row r="469" spans="1:9" x14ac:dyDescent="0.25">
      <c r="A469" t="s">
        <v>550</v>
      </c>
      <c r="B469" t="s">
        <v>43</v>
      </c>
      <c r="C469" t="s">
        <v>673</v>
      </c>
      <c r="D469">
        <v>11869</v>
      </c>
      <c r="E469" t="s">
        <v>12</v>
      </c>
      <c r="F469" t="s">
        <v>519</v>
      </c>
      <c r="H469" t="s">
        <v>15</v>
      </c>
      <c r="I469" t="s">
        <v>671</v>
      </c>
    </row>
    <row r="470" spans="1:9" x14ac:dyDescent="0.25">
      <c r="A470" t="s">
        <v>551</v>
      </c>
      <c r="B470" t="s">
        <v>46</v>
      </c>
      <c r="C470" t="s">
        <v>11</v>
      </c>
      <c r="D470">
        <v>11920</v>
      </c>
      <c r="E470" t="s">
        <v>27</v>
      </c>
      <c r="F470" t="s">
        <v>519</v>
      </c>
      <c r="H470" t="s">
        <v>15</v>
      </c>
      <c r="I470" t="s">
        <v>671</v>
      </c>
    </row>
    <row r="471" spans="1:9" x14ac:dyDescent="0.25">
      <c r="A471" t="s">
        <v>552</v>
      </c>
      <c r="B471" t="s">
        <v>46</v>
      </c>
      <c r="C471" t="s">
        <v>674</v>
      </c>
      <c r="D471">
        <v>11907</v>
      </c>
      <c r="E471" t="s">
        <v>12</v>
      </c>
      <c r="F471" t="s">
        <v>519</v>
      </c>
      <c r="G471" t="s">
        <v>14</v>
      </c>
      <c r="H471" t="s">
        <v>15</v>
      </c>
      <c r="I471" t="s">
        <v>674</v>
      </c>
    </row>
    <row r="472" spans="1:9" x14ac:dyDescent="0.25">
      <c r="A472" t="s">
        <v>553</v>
      </c>
      <c r="B472" t="s">
        <v>180</v>
      </c>
      <c r="C472" t="s">
        <v>675</v>
      </c>
      <c r="D472">
        <v>1923</v>
      </c>
      <c r="E472" t="s">
        <v>12</v>
      </c>
      <c r="F472" t="s">
        <v>519</v>
      </c>
      <c r="H472" t="s">
        <v>15</v>
      </c>
      <c r="I472" t="s">
        <v>675</v>
      </c>
    </row>
    <row r="473" spans="1:9" x14ac:dyDescent="0.25">
      <c r="A473" t="s">
        <v>554</v>
      </c>
      <c r="B473" t="s">
        <v>50</v>
      </c>
      <c r="C473" t="s">
        <v>679</v>
      </c>
      <c r="D473">
        <v>11854</v>
      </c>
      <c r="E473" t="s">
        <v>27</v>
      </c>
      <c r="F473" t="s">
        <v>519</v>
      </c>
      <c r="H473" t="s">
        <v>15</v>
      </c>
      <c r="I473" t="s">
        <v>679</v>
      </c>
    </row>
    <row r="474" spans="1:9" x14ac:dyDescent="0.25">
      <c r="A474" t="s">
        <v>555</v>
      </c>
      <c r="B474" t="s">
        <v>50</v>
      </c>
      <c r="C474" t="s">
        <v>679</v>
      </c>
      <c r="D474">
        <v>11834</v>
      </c>
      <c r="E474" t="s">
        <v>27</v>
      </c>
      <c r="F474" t="s">
        <v>519</v>
      </c>
      <c r="H474" t="s">
        <v>15</v>
      </c>
      <c r="I474" t="s">
        <v>679</v>
      </c>
    </row>
    <row r="475" spans="1:9" x14ac:dyDescent="0.25">
      <c r="A475" t="s">
        <v>556</v>
      </c>
      <c r="B475" t="s">
        <v>338</v>
      </c>
      <c r="C475" t="s">
        <v>679</v>
      </c>
      <c r="D475">
        <v>1558</v>
      </c>
      <c r="E475" t="s">
        <v>12</v>
      </c>
      <c r="F475" t="s">
        <v>519</v>
      </c>
      <c r="H475" t="s">
        <v>15</v>
      </c>
      <c r="I475" t="s">
        <v>679</v>
      </c>
    </row>
    <row r="476" spans="1:9" x14ac:dyDescent="0.25">
      <c r="A476" t="s">
        <v>557</v>
      </c>
      <c r="B476" t="s">
        <v>237</v>
      </c>
      <c r="C476" t="s">
        <v>679</v>
      </c>
      <c r="D476">
        <v>11885</v>
      </c>
      <c r="E476" t="s">
        <v>27</v>
      </c>
      <c r="F476" t="s">
        <v>519</v>
      </c>
      <c r="H476" t="s">
        <v>15</v>
      </c>
      <c r="I476" t="s">
        <v>679</v>
      </c>
    </row>
    <row r="477" spans="1:9" x14ac:dyDescent="0.25">
      <c r="A477" t="s">
        <v>558</v>
      </c>
      <c r="B477" t="s">
        <v>53</v>
      </c>
      <c r="C477" t="s">
        <v>676</v>
      </c>
      <c r="D477">
        <v>11656</v>
      </c>
      <c r="E477" t="s">
        <v>12</v>
      </c>
      <c r="F477" t="s">
        <v>519</v>
      </c>
      <c r="H477" t="s">
        <v>15</v>
      </c>
      <c r="I477" t="s">
        <v>676</v>
      </c>
    </row>
    <row r="478" spans="1:9" x14ac:dyDescent="0.25">
      <c r="A478" t="s">
        <v>559</v>
      </c>
      <c r="B478" t="s">
        <v>53</v>
      </c>
      <c r="C478" t="s">
        <v>676</v>
      </c>
      <c r="D478">
        <v>11609</v>
      </c>
      <c r="E478" t="s">
        <v>12</v>
      </c>
      <c r="F478" t="s">
        <v>519</v>
      </c>
      <c r="H478" t="s">
        <v>15</v>
      </c>
      <c r="I478" t="s">
        <v>676</v>
      </c>
    </row>
    <row r="479" spans="1:9" x14ac:dyDescent="0.25">
      <c r="A479" t="s">
        <v>560</v>
      </c>
      <c r="B479" t="s">
        <v>53</v>
      </c>
      <c r="C479" t="s">
        <v>676</v>
      </c>
      <c r="D479">
        <v>11833</v>
      </c>
      <c r="E479" t="s">
        <v>12</v>
      </c>
      <c r="F479" t="s">
        <v>519</v>
      </c>
      <c r="H479" t="s">
        <v>15</v>
      </c>
      <c r="I479" t="s">
        <v>676</v>
      </c>
    </row>
    <row r="480" spans="1:9" x14ac:dyDescent="0.25">
      <c r="A480" t="s">
        <v>561</v>
      </c>
      <c r="B480" t="s">
        <v>56</v>
      </c>
      <c r="C480" t="s">
        <v>677</v>
      </c>
      <c r="D480">
        <v>11841</v>
      </c>
      <c r="E480" t="s">
        <v>27</v>
      </c>
      <c r="F480" t="s">
        <v>519</v>
      </c>
      <c r="H480" t="s">
        <v>15</v>
      </c>
      <c r="I480" t="s">
        <v>677</v>
      </c>
    </row>
    <row r="481" spans="1:9" x14ac:dyDescent="0.25">
      <c r="A481" t="s">
        <v>562</v>
      </c>
      <c r="B481" t="s">
        <v>60</v>
      </c>
      <c r="C481" t="s">
        <v>81</v>
      </c>
      <c r="D481">
        <v>11882</v>
      </c>
      <c r="E481" t="s">
        <v>12</v>
      </c>
      <c r="F481" t="s">
        <v>519</v>
      </c>
      <c r="H481" t="s">
        <v>15</v>
      </c>
      <c r="I481" t="s">
        <v>671</v>
      </c>
    </row>
    <row r="482" spans="1:9" x14ac:dyDescent="0.25">
      <c r="A482" t="s">
        <v>563</v>
      </c>
      <c r="B482" t="s">
        <v>60</v>
      </c>
      <c r="C482" t="s">
        <v>426</v>
      </c>
      <c r="D482">
        <v>11903</v>
      </c>
      <c r="E482" t="s">
        <v>12</v>
      </c>
      <c r="F482" t="s">
        <v>519</v>
      </c>
      <c r="H482" t="s">
        <v>15</v>
      </c>
      <c r="I482" t="s">
        <v>687</v>
      </c>
    </row>
    <row r="483" spans="1:9" x14ac:dyDescent="0.25">
      <c r="A483" t="s">
        <v>564</v>
      </c>
      <c r="B483" t="s">
        <v>166</v>
      </c>
      <c r="C483" t="s">
        <v>675</v>
      </c>
      <c r="D483">
        <v>11892</v>
      </c>
      <c r="E483" t="s">
        <v>27</v>
      </c>
      <c r="F483" t="s">
        <v>519</v>
      </c>
      <c r="H483" t="s">
        <v>15</v>
      </c>
      <c r="I483" t="s">
        <v>675</v>
      </c>
    </row>
    <row r="484" spans="1:9" x14ac:dyDescent="0.25">
      <c r="A484" t="s">
        <v>565</v>
      </c>
      <c r="B484" t="s">
        <v>161</v>
      </c>
      <c r="C484" t="s">
        <v>675</v>
      </c>
      <c r="D484">
        <v>11844</v>
      </c>
      <c r="E484" t="s">
        <v>27</v>
      </c>
      <c r="F484" t="s">
        <v>519</v>
      </c>
      <c r="H484" t="s">
        <v>113</v>
      </c>
      <c r="I484" t="s">
        <v>675</v>
      </c>
    </row>
    <row r="485" spans="1:9" x14ac:dyDescent="0.25">
      <c r="A485" t="s">
        <v>566</v>
      </c>
      <c r="B485" t="s">
        <v>168</v>
      </c>
      <c r="C485" t="s">
        <v>676</v>
      </c>
      <c r="D485">
        <v>11893</v>
      </c>
      <c r="E485" t="s">
        <v>12</v>
      </c>
      <c r="F485" t="s">
        <v>519</v>
      </c>
      <c r="H485" t="s">
        <v>15</v>
      </c>
      <c r="I485" t="s">
        <v>676</v>
      </c>
    </row>
    <row r="486" spans="1:9" x14ac:dyDescent="0.25">
      <c r="A486" t="s">
        <v>567</v>
      </c>
      <c r="B486" t="s">
        <v>63</v>
      </c>
      <c r="C486" t="s">
        <v>679</v>
      </c>
      <c r="D486">
        <v>11683</v>
      </c>
      <c r="E486" t="s">
        <v>12</v>
      </c>
      <c r="F486" t="s">
        <v>519</v>
      </c>
      <c r="G486" t="s">
        <v>17</v>
      </c>
      <c r="H486" t="s">
        <v>15</v>
      </c>
      <c r="I486" t="s">
        <v>679</v>
      </c>
    </row>
    <row r="487" spans="1:9" x14ac:dyDescent="0.25">
      <c r="A487" t="s">
        <v>568</v>
      </c>
      <c r="B487" t="s">
        <v>63</v>
      </c>
      <c r="C487" t="s">
        <v>679</v>
      </c>
      <c r="D487">
        <v>12007</v>
      </c>
      <c r="E487" t="s">
        <v>27</v>
      </c>
      <c r="F487" t="s">
        <v>519</v>
      </c>
      <c r="H487" t="s">
        <v>15</v>
      </c>
      <c r="I487" t="s">
        <v>679</v>
      </c>
    </row>
    <row r="488" spans="1:9" x14ac:dyDescent="0.25">
      <c r="A488" t="s">
        <v>569</v>
      </c>
      <c r="B488" t="s">
        <v>63</v>
      </c>
      <c r="C488" t="s">
        <v>679</v>
      </c>
      <c r="D488">
        <v>11683</v>
      </c>
      <c r="E488" t="s">
        <v>12</v>
      </c>
      <c r="F488" t="s">
        <v>519</v>
      </c>
      <c r="G488" t="s">
        <v>14</v>
      </c>
      <c r="H488" t="s">
        <v>15</v>
      </c>
      <c r="I488" t="s">
        <v>679</v>
      </c>
    </row>
    <row r="489" spans="1:9" x14ac:dyDescent="0.25">
      <c r="A489" t="s">
        <v>570</v>
      </c>
      <c r="B489" t="s">
        <v>166</v>
      </c>
      <c r="C489" t="s">
        <v>679</v>
      </c>
      <c r="D489">
        <v>11666</v>
      </c>
      <c r="E489" t="s">
        <v>27</v>
      </c>
      <c r="F489" t="s">
        <v>519</v>
      </c>
      <c r="G489" t="s">
        <v>14</v>
      </c>
      <c r="H489" t="s">
        <v>15</v>
      </c>
      <c r="I489" t="s">
        <v>679</v>
      </c>
    </row>
    <row r="490" spans="1:9" x14ac:dyDescent="0.25">
      <c r="A490" t="s">
        <v>571</v>
      </c>
      <c r="B490" t="s">
        <v>66</v>
      </c>
      <c r="C490" t="s">
        <v>677</v>
      </c>
      <c r="D490">
        <v>11653</v>
      </c>
      <c r="E490" t="s">
        <v>27</v>
      </c>
      <c r="F490" t="s">
        <v>519</v>
      </c>
      <c r="G490" t="s">
        <v>14</v>
      </c>
      <c r="H490" t="s">
        <v>15</v>
      </c>
      <c r="I490" t="s">
        <v>677</v>
      </c>
    </row>
    <row r="491" spans="1:9" x14ac:dyDescent="0.25">
      <c r="A491" t="s">
        <v>572</v>
      </c>
      <c r="B491" t="s">
        <v>66</v>
      </c>
      <c r="C491" t="s">
        <v>677</v>
      </c>
      <c r="D491">
        <v>11653</v>
      </c>
      <c r="E491" t="s">
        <v>27</v>
      </c>
      <c r="F491" t="s">
        <v>519</v>
      </c>
      <c r="G491" t="s">
        <v>17</v>
      </c>
      <c r="H491" t="s">
        <v>15</v>
      </c>
      <c r="I491" t="s">
        <v>677</v>
      </c>
    </row>
    <row r="492" spans="1:9" x14ac:dyDescent="0.25">
      <c r="A492" t="s">
        <v>573</v>
      </c>
      <c r="B492" t="s">
        <v>66</v>
      </c>
      <c r="C492" t="s">
        <v>679</v>
      </c>
      <c r="D492">
        <v>11666</v>
      </c>
      <c r="E492" t="s">
        <v>27</v>
      </c>
      <c r="F492" t="s">
        <v>519</v>
      </c>
      <c r="G492" t="s">
        <v>17</v>
      </c>
      <c r="H492" t="s">
        <v>15</v>
      </c>
      <c r="I492" t="s">
        <v>679</v>
      </c>
    </row>
    <row r="493" spans="1:9" x14ac:dyDescent="0.25">
      <c r="A493" t="s">
        <v>574</v>
      </c>
      <c r="B493" t="s">
        <v>166</v>
      </c>
      <c r="C493" t="s">
        <v>679</v>
      </c>
      <c r="D493">
        <v>11683</v>
      </c>
      <c r="E493" t="s">
        <v>12</v>
      </c>
      <c r="F493" t="s">
        <v>519</v>
      </c>
      <c r="G493" t="s">
        <v>17</v>
      </c>
      <c r="H493" t="s">
        <v>15</v>
      </c>
      <c r="I493" t="s">
        <v>679</v>
      </c>
    </row>
    <row r="494" spans="1:9" x14ac:dyDescent="0.25">
      <c r="A494" t="s">
        <v>575</v>
      </c>
      <c r="B494" t="s">
        <v>29</v>
      </c>
      <c r="C494" t="s">
        <v>26</v>
      </c>
      <c r="D494">
        <v>11814</v>
      </c>
      <c r="E494" t="s">
        <v>27</v>
      </c>
      <c r="F494" t="s">
        <v>576</v>
      </c>
      <c r="G494" t="s">
        <v>14</v>
      </c>
      <c r="H494" t="s">
        <v>15</v>
      </c>
      <c r="I494" t="s">
        <v>671</v>
      </c>
    </row>
    <row r="495" spans="1:9" x14ac:dyDescent="0.25">
      <c r="A495" t="s">
        <v>577</v>
      </c>
      <c r="B495" t="s">
        <v>338</v>
      </c>
      <c r="C495" t="s">
        <v>679</v>
      </c>
      <c r="D495">
        <v>11834</v>
      </c>
      <c r="E495" t="s">
        <v>27</v>
      </c>
      <c r="F495" t="s">
        <v>576</v>
      </c>
      <c r="H495" t="s">
        <v>15</v>
      </c>
      <c r="I495" t="s">
        <v>679</v>
      </c>
    </row>
    <row r="496" spans="1:9" x14ac:dyDescent="0.25">
      <c r="A496" t="s">
        <v>578</v>
      </c>
      <c r="B496" t="s">
        <v>34</v>
      </c>
      <c r="C496" t="s">
        <v>672</v>
      </c>
      <c r="D496">
        <v>11873</v>
      </c>
      <c r="E496" t="s">
        <v>12</v>
      </c>
      <c r="F496" t="s">
        <v>579</v>
      </c>
      <c r="H496" t="s">
        <v>15</v>
      </c>
      <c r="I496" t="s">
        <v>672</v>
      </c>
    </row>
    <row r="497" spans="1:9" x14ac:dyDescent="0.25">
      <c r="A497" t="s">
        <v>580</v>
      </c>
      <c r="B497" t="s">
        <v>46</v>
      </c>
      <c r="C497" t="s">
        <v>674</v>
      </c>
      <c r="D497">
        <v>11907</v>
      </c>
      <c r="E497" t="s">
        <v>12</v>
      </c>
      <c r="F497" t="s">
        <v>579</v>
      </c>
      <c r="G497" t="s">
        <v>14</v>
      </c>
      <c r="H497" t="s">
        <v>15</v>
      </c>
      <c r="I497" t="s">
        <v>674</v>
      </c>
    </row>
    <row r="498" spans="1:9" x14ac:dyDescent="0.25">
      <c r="A498" t="s">
        <v>581</v>
      </c>
      <c r="B498" t="s">
        <v>10</v>
      </c>
      <c r="C498" t="s">
        <v>11</v>
      </c>
      <c r="D498">
        <v>1406</v>
      </c>
      <c r="E498" t="s">
        <v>12</v>
      </c>
      <c r="F498" t="s">
        <v>582</v>
      </c>
      <c r="G498" t="s">
        <v>17</v>
      </c>
      <c r="H498" t="s">
        <v>15</v>
      </c>
      <c r="I498" t="s">
        <v>671</v>
      </c>
    </row>
    <row r="499" spans="1:9" x14ac:dyDescent="0.25">
      <c r="A499" t="s">
        <v>583</v>
      </c>
      <c r="B499" t="s">
        <v>10</v>
      </c>
      <c r="C499" t="s">
        <v>11</v>
      </c>
      <c r="D499">
        <v>1406</v>
      </c>
      <c r="E499" t="s">
        <v>12</v>
      </c>
      <c r="F499" t="s">
        <v>582</v>
      </c>
      <c r="G499" t="s">
        <v>14</v>
      </c>
      <c r="H499" t="s">
        <v>15</v>
      </c>
      <c r="I499" t="s">
        <v>671</v>
      </c>
    </row>
    <row r="500" spans="1:9" x14ac:dyDescent="0.25">
      <c r="A500" t="s">
        <v>584</v>
      </c>
      <c r="B500" t="s">
        <v>10</v>
      </c>
      <c r="C500" t="s">
        <v>11</v>
      </c>
      <c r="D500">
        <v>11823</v>
      </c>
      <c r="E500" t="s">
        <v>27</v>
      </c>
      <c r="F500" t="s">
        <v>582</v>
      </c>
      <c r="G500" t="s">
        <v>14</v>
      </c>
      <c r="H500" t="s">
        <v>15</v>
      </c>
      <c r="I500" t="s">
        <v>671</v>
      </c>
    </row>
    <row r="501" spans="1:9" x14ac:dyDescent="0.25">
      <c r="A501" t="s">
        <v>585</v>
      </c>
      <c r="B501" t="s">
        <v>10</v>
      </c>
      <c r="C501" t="s">
        <v>11</v>
      </c>
      <c r="D501">
        <v>11823</v>
      </c>
      <c r="E501" t="s">
        <v>27</v>
      </c>
      <c r="F501" t="s">
        <v>582</v>
      </c>
      <c r="G501" t="s">
        <v>17</v>
      </c>
      <c r="H501" t="s">
        <v>15</v>
      </c>
      <c r="I501" t="s">
        <v>671</v>
      </c>
    </row>
    <row r="502" spans="1:9" x14ac:dyDescent="0.25">
      <c r="A502" t="s">
        <v>586</v>
      </c>
      <c r="B502" t="s">
        <v>20</v>
      </c>
      <c r="C502" t="s">
        <v>11</v>
      </c>
      <c r="D502">
        <v>11884</v>
      </c>
      <c r="E502" t="s">
        <v>12</v>
      </c>
      <c r="F502" t="s">
        <v>582</v>
      </c>
      <c r="G502" t="s">
        <v>17</v>
      </c>
      <c r="H502" t="s">
        <v>15</v>
      </c>
      <c r="I502" t="s">
        <v>671</v>
      </c>
    </row>
    <row r="503" spans="1:9" x14ac:dyDescent="0.25">
      <c r="A503" t="s">
        <v>587</v>
      </c>
      <c r="B503" t="s">
        <v>20</v>
      </c>
      <c r="C503" t="s">
        <v>11</v>
      </c>
      <c r="D503">
        <v>11884</v>
      </c>
      <c r="E503" t="s">
        <v>12</v>
      </c>
      <c r="F503" t="s">
        <v>582</v>
      </c>
      <c r="G503" t="s">
        <v>14</v>
      </c>
      <c r="H503" t="s">
        <v>15</v>
      </c>
      <c r="I503" t="s">
        <v>671</v>
      </c>
    </row>
    <row r="504" spans="1:9" x14ac:dyDescent="0.25">
      <c r="A504" t="s">
        <v>588</v>
      </c>
      <c r="B504" t="s">
        <v>29</v>
      </c>
      <c r="C504" t="s">
        <v>26</v>
      </c>
      <c r="D504">
        <v>11814</v>
      </c>
      <c r="E504" t="s">
        <v>27</v>
      </c>
      <c r="F504" t="s">
        <v>582</v>
      </c>
      <c r="G504" t="s">
        <v>14</v>
      </c>
      <c r="H504" t="s">
        <v>15</v>
      </c>
      <c r="I504" t="s">
        <v>671</v>
      </c>
    </row>
    <row r="505" spans="1:9" x14ac:dyDescent="0.25">
      <c r="A505" t="s">
        <v>589</v>
      </c>
      <c r="B505" t="s">
        <v>377</v>
      </c>
      <c r="C505" t="s">
        <v>26</v>
      </c>
      <c r="D505">
        <v>11828</v>
      </c>
      <c r="E505" t="s">
        <v>12</v>
      </c>
      <c r="F505" t="s">
        <v>582</v>
      </c>
      <c r="G505" t="s">
        <v>17</v>
      </c>
      <c r="H505" t="s">
        <v>15</v>
      </c>
      <c r="I505" t="s">
        <v>671</v>
      </c>
    </row>
    <row r="506" spans="1:9" x14ac:dyDescent="0.25">
      <c r="A506" t="s">
        <v>590</v>
      </c>
      <c r="B506" t="s">
        <v>377</v>
      </c>
      <c r="C506" t="s">
        <v>26</v>
      </c>
      <c r="D506">
        <v>11828</v>
      </c>
      <c r="E506" t="s">
        <v>12</v>
      </c>
      <c r="F506" t="s">
        <v>582</v>
      </c>
      <c r="G506" t="s">
        <v>17</v>
      </c>
      <c r="H506" t="s">
        <v>15</v>
      </c>
      <c r="I506" t="s">
        <v>671</v>
      </c>
    </row>
    <row r="507" spans="1:9" x14ac:dyDescent="0.25">
      <c r="A507" t="s">
        <v>591</v>
      </c>
      <c r="B507" t="s">
        <v>25</v>
      </c>
      <c r="C507" t="s">
        <v>26</v>
      </c>
      <c r="D507">
        <v>11828</v>
      </c>
      <c r="E507" t="s">
        <v>12</v>
      </c>
      <c r="F507" t="s">
        <v>582</v>
      </c>
      <c r="G507" t="s">
        <v>14</v>
      </c>
      <c r="H507" t="s">
        <v>15</v>
      </c>
      <c r="I507" t="s">
        <v>671</v>
      </c>
    </row>
    <row r="508" spans="1:9" x14ac:dyDescent="0.25">
      <c r="A508" t="s">
        <v>592</v>
      </c>
      <c r="B508" t="s">
        <v>25</v>
      </c>
      <c r="C508" t="s">
        <v>26</v>
      </c>
      <c r="D508">
        <v>11829</v>
      </c>
      <c r="E508" t="s">
        <v>27</v>
      </c>
      <c r="F508" t="s">
        <v>582</v>
      </c>
      <c r="G508" t="s">
        <v>14</v>
      </c>
      <c r="H508" t="s">
        <v>15</v>
      </c>
      <c r="I508" t="s">
        <v>671</v>
      </c>
    </row>
    <row r="509" spans="1:9" x14ac:dyDescent="0.25">
      <c r="A509" t="s">
        <v>593</v>
      </c>
      <c r="B509" t="s">
        <v>25</v>
      </c>
      <c r="C509" t="s">
        <v>26</v>
      </c>
      <c r="D509">
        <v>11829</v>
      </c>
      <c r="E509" t="s">
        <v>27</v>
      </c>
      <c r="F509" t="s">
        <v>582</v>
      </c>
      <c r="G509" t="s">
        <v>17</v>
      </c>
      <c r="H509" t="s">
        <v>15</v>
      </c>
      <c r="I509" t="s">
        <v>671</v>
      </c>
    </row>
    <row r="510" spans="1:9" x14ac:dyDescent="0.25">
      <c r="A510" t="s">
        <v>594</v>
      </c>
      <c r="B510" t="s">
        <v>237</v>
      </c>
      <c r="C510" t="s">
        <v>26</v>
      </c>
      <c r="D510">
        <v>11865</v>
      </c>
      <c r="E510" t="s">
        <v>27</v>
      </c>
      <c r="F510" t="s">
        <v>582</v>
      </c>
      <c r="G510" t="s">
        <v>14</v>
      </c>
      <c r="H510" t="s">
        <v>15</v>
      </c>
      <c r="I510" t="s">
        <v>671</v>
      </c>
    </row>
    <row r="511" spans="1:9" x14ac:dyDescent="0.25">
      <c r="A511" t="s">
        <v>595</v>
      </c>
      <c r="B511" t="s">
        <v>25</v>
      </c>
      <c r="C511" t="s">
        <v>26</v>
      </c>
      <c r="D511">
        <v>11871</v>
      </c>
      <c r="E511" t="s">
        <v>12</v>
      </c>
      <c r="F511" t="s">
        <v>582</v>
      </c>
      <c r="G511" t="s">
        <v>17</v>
      </c>
      <c r="H511" t="s">
        <v>15</v>
      </c>
      <c r="I511" t="s">
        <v>671</v>
      </c>
    </row>
    <row r="512" spans="1:9" x14ac:dyDescent="0.25">
      <c r="A512" t="s">
        <v>596</v>
      </c>
      <c r="B512" t="s">
        <v>25</v>
      </c>
      <c r="C512" t="s">
        <v>26</v>
      </c>
      <c r="D512">
        <v>11871</v>
      </c>
      <c r="E512" t="s">
        <v>12</v>
      </c>
      <c r="F512" t="s">
        <v>582</v>
      </c>
      <c r="G512" t="s">
        <v>14</v>
      </c>
      <c r="H512" t="s">
        <v>15</v>
      </c>
      <c r="I512" t="s">
        <v>671</v>
      </c>
    </row>
    <row r="513" spans="1:9" x14ac:dyDescent="0.25">
      <c r="A513" t="s">
        <v>597</v>
      </c>
      <c r="B513" t="s">
        <v>25</v>
      </c>
      <c r="C513" t="s">
        <v>26</v>
      </c>
      <c r="D513">
        <v>11878</v>
      </c>
      <c r="E513" t="s">
        <v>12</v>
      </c>
      <c r="F513" t="s">
        <v>582</v>
      </c>
      <c r="G513" t="s">
        <v>14</v>
      </c>
      <c r="H513" t="s">
        <v>15</v>
      </c>
      <c r="I513" t="s">
        <v>671</v>
      </c>
    </row>
    <row r="514" spans="1:9" x14ac:dyDescent="0.25">
      <c r="A514" t="s">
        <v>598</v>
      </c>
      <c r="B514" t="s">
        <v>76</v>
      </c>
      <c r="C514" t="s">
        <v>26</v>
      </c>
      <c r="D514">
        <v>11878</v>
      </c>
      <c r="E514" t="s">
        <v>12</v>
      </c>
      <c r="F514" t="s">
        <v>582</v>
      </c>
      <c r="G514" t="s">
        <v>17</v>
      </c>
      <c r="H514" t="s">
        <v>15</v>
      </c>
      <c r="I514" t="s">
        <v>671</v>
      </c>
    </row>
    <row r="515" spans="1:9" x14ac:dyDescent="0.25">
      <c r="A515" t="s">
        <v>599</v>
      </c>
      <c r="B515" t="s">
        <v>76</v>
      </c>
      <c r="C515" t="s">
        <v>674</v>
      </c>
      <c r="D515">
        <v>11947</v>
      </c>
      <c r="E515" t="s">
        <v>12</v>
      </c>
      <c r="F515" t="s">
        <v>582</v>
      </c>
      <c r="G515" t="s">
        <v>14</v>
      </c>
      <c r="H515" t="s">
        <v>15</v>
      </c>
      <c r="I515" t="s">
        <v>674</v>
      </c>
    </row>
    <row r="516" spans="1:9" x14ac:dyDescent="0.25">
      <c r="A516" t="s">
        <v>600</v>
      </c>
      <c r="B516" t="s">
        <v>601</v>
      </c>
      <c r="C516" t="s">
        <v>672</v>
      </c>
      <c r="D516">
        <v>11912</v>
      </c>
      <c r="E516" t="s">
        <v>27</v>
      </c>
      <c r="F516" t="s">
        <v>582</v>
      </c>
      <c r="G516" t="s">
        <v>14</v>
      </c>
      <c r="H516" t="s">
        <v>15</v>
      </c>
      <c r="I516" t="s">
        <v>672</v>
      </c>
    </row>
    <row r="517" spans="1:9" x14ac:dyDescent="0.25">
      <c r="A517" t="s">
        <v>602</v>
      </c>
      <c r="B517" t="s">
        <v>601</v>
      </c>
      <c r="C517" t="s">
        <v>672</v>
      </c>
      <c r="D517">
        <v>11912</v>
      </c>
      <c r="E517" t="s">
        <v>27</v>
      </c>
      <c r="F517" t="s">
        <v>582</v>
      </c>
      <c r="G517" t="s">
        <v>14</v>
      </c>
      <c r="H517" t="s">
        <v>15</v>
      </c>
      <c r="I517" t="s">
        <v>672</v>
      </c>
    </row>
    <row r="518" spans="1:9" x14ac:dyDescent="0.25">
      <c r="A518" t="s">
        <v>603</v>
      </c>
      <c r="B518" t="s">
        <v>34</v>
      </c>
      <c r="C518" t="s">
        <v>672</v>
      </c>
      <c r="D518">
        <v>11912</v>
      </c>
      <c r="E518" t="s">
        <v>27</v>
      </c>
      <c r="F518" t="s">
        <v>582</v>
      </c>
      <c r="G518" t="s">
        <v>17</v>
      </c>
      <c r="H518" t="s">
        <v>15</v>
      </c>
      <c r="I518" t="s">
        <v>672</v>
      </c>
    </row>
    <row r="519" spans="1:9" x14ac:dyDescent="0.25">
      <c r="A519" t="s">
        <v>604</v>
      </c>
      <c r="B519" t="s">
        <v>50</v>
      </c>
      <c r="C519" t="s">
        <v>681</v>
      </c>
      <c r="D519">
        <v>1290</v>
      </c>
      <c r="E519" t="s">
        <v>27</v>
      </c>
      <c r="F519" t="s">
        <v>582</v>
      </c>
      <c r="G519" t="s">
        <v>17</v>
      </c>
      <c r="H519" t="s">
        <v>15</v>
      </c>
      <c r="I519" t="s">
        <v>681</v>
      </c>
    </row>
    <row r="520" spans="1:9" x14ac:dyDescent="0.25">
      <c r="A520" t="s">
        <v>605</v>
      </c>
      <c r="B520" t="s">
        <v>53</v>
      </c>
      <c r="C520" t="s">
        <v>676</v>
      </c>
      <c r="D520">
        <v>11609</v>
      </c>
      <c r="E520" t="s">
        <v>12</v>
      </c>
      <c r="F520" t="s">
        <v>582</v>
      </c>
      <c r="G520" t="s">
        <v>14</v>
      </c>
      <c r="H520" t="s">
        <v>15</v>
      </c>
      <c r="I520" t="s">
        <v>676</v>
      </c>
    </row>
    <row r="521" spans="1:9" x14ac:dyDescent="0.25">
      <c r="A521" t="s">
        <v>606</v>
      </c>
      <c r="B521" t="s">
        <v>53</v>
      </c>
      <c r="C521" t="s">
        <v>676</v>
      </c>
      <c r="D521">
        <v>1123</v>
      </c>
      <c r="E521" t="s">
        <v>173</v>
      </c>
      <c r="F521" t="s">
        <v>582</v>
      </c>
      <c r="G521" t="s">
        <v>17</v>
      </c>
      <c r="H521" t="s">
        <v>15</v>
      </c>
      <c r="I521" t="s">
        <v>676</v>
      </c>
    </row>
    <row r="522" spans="1:9" x14ac:dyDescent="0.25">
      <c r="A522" t="s">
        <v>607</v>
      </c>
      <c r="B522" t="s">
        <v>63</v>
      </c>
      <c r="C522" t="s">
        <v>679</v>
      </c>
      <c r="D522">
        <v>11666</v>
      </c>
      <c r="E522" t="s">
        <v>27</v>
      </c>
      <c r="F522" t="s">
        <v>582</v>
      </c>
      <c r="G522" t="s">
        <v>14</v>
      </c>
      <c r="H522" t="s">
        <v>15</v>
      </c>
      <c r="I522" t="s">
        <v>679</v>
      </c>
    </row>
    <row r="523" spans="1:9" x14ac:dyDescent="0.25">
      <c r="A523" t="s">
        <v>608</v>
      </c>
      <c r="B523" t="s">
        <v>63</v>
      </c>
      <c r="C523" t="s">
        <v>679</v>
      </c>
      <c r="D523">
        <v>11666</v>
      </c>
      <c r="E523" t="s">
        <v>27</v>
      </c>
      <c r="F523" t="s">
        <v>582</v>
      </c>
      <c r="G523" t="s">
        <v>17</v>
      </c>
      <c r="H523" t="s">
        <v>15</v>
      </c>
      <c r="I523" t="s">
        <v>679</v>
      </c>
    </row>
    <row r="524" spans="1:9" x14ac:dyDescent="0.25">
      <c r="A524" t="s">
        <v>609</v>
      </c>
      <c r="B524" t="s">
        <v>63</v>
      </c>
      <c r="C524" t="s">
        <v>679</v>
      </c>
      <c r="D524">
        <v>11683</v>
      </c>
      <c r="E524" t="s">
        <v>12</v>
      </c>
      <c r="F524" t="s">
        <v>582</v>
      </c>
      <c r="G524" t="s">
        <v>14</v>
      </c>
      <c r="H524" t="s">
        <v>15</v>
      </c>
      <c r="I524" t="s">
        <v>679</v>
      </c>
    </row>
    <row r="525" spans="1:9" x14ac:dyDescent="0.25">
      <c r="A525" t="s">
        <v>610</v>
      </c>
      <c r="B525" t="s">
        <v>63</v>
      </c>
      <c r="C525" t="s">
        <v>677</v>
      </c>
      <c r="D525">
        <v>11653</v>
      </c>
      <c r="E525" t="s">
        <v>27</v>
      </c>
      <c r="F525" t="s">
        <v>582</v>
      </c>
      <c r="G525" t="s">
        <v>14</v>
      </c>
      <c r="H525" t="s">
        <v>15</v>
      </c>
      <c r="I525" t="s">
        <v>677</v>
      </c>
    </row>
    <row r="526" spans="1:9" x14ac:dyDescent="0.25">
      <c r="A526" t="s">
        <v>611</v>
      </c>
      <c r="B526" t="s">
        <v>66</v>
      </c>
      <c r="C526" t="s">
        <v>677</v>
      </c>
      <c r="D526">
        <v>11653</v>
      </c>
      <c r="E526" t="s">
        <v>27</v>
      </c>
      <c r="F526" t="s">
        <v>582</v>
      </c>
      <c r="G526" t="s">
        <v>17</v>
      </c>
      <c r="H526" t="s">
        <v>15</v>
      </c>
      <c r="I526" t="s">
        <v>677</v>
      </c>
    </row>
    <row r="527" spans="1:9" x14ac:dyDescent="0.25">
      <c r="A527" t="s">
        <v>612</v>
      </c>
      <c r="B527" t="s">
        <v>53</v>
      </c>
      <c r="C527" t="s">
        <v>676</v>
      </c>
      <c r="D527">
        <v>1123</v>
      </c>
      <c r="E527" t="s">
        <v>173</v>
      </c>
      <c r="F527" t="s">
        <v>582</v>
      </c>
      <c r="G527" t="s">
        <v>17</v>
      </c>
      <c r="H527" t="s">
        <v>15</v>
      </c>
      <c r="I527" t="s">
        <v>676</v>
      </c>
    </row>
    <row r="528" spans="1:9" x14ac:dyDescent="0.25">
      <c r="A528" t="s">
        <v>613</v>
      </c>
      <c r="B528" t="s">
        <v>53</v>
      </c>
      <c r="C528" t="s">
        <v>676</v>
      </c>
      <c r="D528">
        <v>1123</v>
      </c>
      <c r="E528" t="s">
        <v>173</v>
      </c>
      <c r="F528" t="s">
        <v>582</v>
      </c>
      <c r="G528" t="s">
        <v>17</v>
      </c>
      <c r="H528" t="s">
        <v>15</v>
      </c>
      <c r="I528" t="s">
        <v>676</v>
      </c>
    </row>
    <row r="529" spans="1:9" x14ac:dyDescent="0.25">
      <c r="A529" t="s">
        <v>614</v>
      </c>
      <c r="B529" t="s">
        <v>63</v>
      </c>
      <c r="C529" t="s">
        <v>679</v>
      </c>
      <c r="D529">
        <v>11666</v>
      </c>
      <c r="E529" t="s">
        <v>27</v>
      </c>
      <c r="F529" t="s">
        <v>582</v>
      </c>
      <c r="G529" t="s">
        <v>14</v>
      </c>
      <c r="H529" t="s">
        <v>15</v>
      </c>
      <c r="I529" t="s">
        <v>679</v>
      </c>
    </row>
    <row r="530" spans="1:9" x14ac:dyDescent="0.25">
      <c r="A530" t="s">
        <v>615</v>
      </c>
      <c r="B530" t="s">
        <v>63</v>
      </c>
      <c r="C530" t="s">
        <v>679</v>
      </c>
      <c r="D530">
        <v>11666</v>
      </c>
      <c r="E530" t="s">
        <v>27</v>
      </c>
      <c r="F530" t="s">
        <v>582</v>
      </c>
      <c r="G530" t="s">
        <v>14</v>
      </c>
      <c r="H530" t="s">
        <v>15</v>
      </c>
      <c r="I530" t="s">
        <v>679</v>
      </c>
    </row>
    <row r="531" spans="1:9" x14ac:dyDescent="0.25">
      <c r="A531" t="s">
        <v>616</v>
      </c>
      <c r="B531" t="s">
        <v>63</v>
      </c>
      <c r="C531" t="s">
        <v>679</v>
      </c>
      <c r="D531">
        <v>11666</v>
      </c>
      <c r="E531" t="s">
        <v>27</v>
      </c>
      <c r="F531" t="s">
        <v>582</v>
      </c>
      <c r="G531" t="s">
        <v>17</v>
      </c>
      <c r="H531" t="s">
        <v>15</v>
      </c>
      <c r="I531" t="s">
        <v>679</v>
      </c>
    </row>
    <row r="532" spans="1:9" x14ac:dyDescent="0.25">
      <c r="A532" t="s">
        <v>617</v>
      </c>
      <c r="B532" t="s">
        <v>166</v>
      </c>
      <c r="C532" t="s">
        <v>677</v>
      </c>
      <c r="D532">
        <v>11653</v>
      </c>
      <c r="E532" t="s">
        <v>27</v>
      </c>
      <c r="F532" t="s">
        <v>582</v>
      </c>
      <c r="G532" t="s">
        <v>14</v>
      </c>
      <c r="H532" t="s">
        <v>15</v>
      </c>
      <c r="I532" t="s">
        <v>677</v>
      </c>
    </row>
    <row r="533" spans="1:9" x14ac:dyDescent="0.25">
      <c r="A533" t="s">
        <v>618</v>
      </c>
      <c r="B533" t="s">
        <v>166</v>
      </c>
      <c r="C533" t="s">
        <v>679</v>
      </c>
      <c r="D533">
        <v>11683</v>
      </c>
      <c r="E533" t="s">
        <v>12</v>
      </c>
      <c r="F533" t="s">
        <v>582</v>
      </c>
      <c r="G533" t="s">
        <v>14</v>
      </c>
      <c r="H533" t="s">
        <v>15</v>
      </c>
      <c r="I533" t="s">
        <v>679</v>
      </c>
    </row>
    <row r="534" spans="1:9" x14ac:dyDescent="0.25">
      <c r="A534" t="s">
        <v>619</v>
      </c>
      <c r="B534" t="s">
        <v>166</v>
      </c>
      <c r="C534" t="s">
        <v>679</v>
      </c>
      <c r="D534">
        <v>11683</v>
      </c>
      <c r="E534" t="s">
        <v>12</v>
      </c>
      <c r="F534" t="s">
        <v>582</v>
      </c>
      <c r="G534" t="s">
        <v>17</v>
      </c>
      <c r="H534" t="s">
        <v>15</v>
      </c>
      <c r="I534" t="s">
        <v>679</v>
      </c>
    </row>
    <row r="535" spans="1:9" x14ac:dyDescent="0.25">
      <c r="A535" t="s">
        <v>620</v>
      </c>
      <c r="B535" t="s">
        <v>63</v>
      </c>
      <c r="C535" t="s">
        <v>677</v>
      </c>
      <c r="D535">
        <v>11653</v>
      </c>
      <c r="E535" t="s">
        <v>27</v>
      </c>
      <c r="F535" t="s">
        <v>582</v>
      </c>
      <c r="G535" t="s">
        <v>17</v>
      </c>
      <c r="H535" t="s">
        <v>15</v>
      </c>
      <c r="I535" t="s">
        <v>677</v>
      </c>
    </row>
    <row r="536" spans="1:9" x14ac:dyDescent="0.25">
      <c r="A536" t="s">
        <v>621</v>
      </c>
      <c r="B536" t="s">
        <v>53</v>
      </c>
      <c r="C536" t="s">
        <v>676</v>
      </c>
      <c r="D536">
        <v>1123</v>
      </c>
      <c r="E536" t="s">
        <v>173</v>
      </c>
      <c r="F536" t="s">
        <v>582</v>
      </c>
      <c r="G536" t="s">
        <v>17</v>
      </c>
      <c r="H536" t="s">
        <v>15</v>
      </c>
      <c r="I536" t="s">
        <v>676</v>
      </c>
    </row>
    <row r="537" spans="1:9" x14ac:dyDescent="0.25">
      <c r="A537" t="s">
        <v>622</v>
      </c>
      <c r="B537" t="s">
        <v>53</v>
      </c>
      <c r="C537" t="s">
        <v>676</v>
      </c>
      <c r="D537">
        <v>1123</v>
      </c>
      <c r="E537" t="s">
        <v>173</v>
      </c>
      <c r="F537" t="s">
        <v>582</v>
      </c>
      <c r="G537" t="s">
        <v>17</v>
      </c>
      <c r="H537" t="s">
        <v>15</v>
      </c>
      <c r="I537" t="s">
        <v>676</v>
      </c>
    </row>
    <row r="538" spans="1:9" x14ac:dyDescent="0.25">
      <c r="A538" t="s">
        <v>623</v>
      </c>
      <c r="B538" t="s">
        <v>53</v>
      </c>
      <c r="C538" t="s">
        <v>676</v>
      </c>
      <c r="D538">
        <v>1123</v>
      </c>
      <c r="E538" t="s">
        <v>173</v>
      </c>
      <c r="F538" t="s">
        <v>582</v>
      </c>
      <c r="G538" t="s">
        <v>17</v>
      </c>
      <c r="H538" t="s">
        <v>15</v>
      </c>
      <c r="I538" t="s">
        <v>676</v>
      </c>
    </row>
    <row r="539" spans="1:9" x14ac:dyDescent="0.25">
      <c r="A539" t="s">
        <v>624</v>
      </c>
      <c r="B539" t="s">
        <v>25</v>
      </c>
      <c r="C539" t="s">
        <v>672</v>
      </c>
      <c r="D539">
        <v>11820</v>
      </c>
      <c r="E539" t="s">
        <v>12</v>
      </c>
      <c r="F539" t="s">
        <v>625</v>
      </c>
      <c r="G539" t="s">
        <v>17</v>
      </c>
      <c r="H539" t="s">
        <v>15</v>
      </c>
      <c r="I539" t="s">
        <v>672</v>
      </c>
    </row>
    <row r="540" spans="1:9" x14ac:dyDescent="0.25">
      <c r="A540" t="s">
        <v>626</v>
      </c>
      <c r="B540" t="s">
        <v>627</v>
      </c>
      <c r="C540" t="s">
        <v>686</v>
      </c>
      <c r="D540">
        <v>1117</v>
      </c>
      <c r="E540" t="s">
        <v>173</v>
      </c>
      <c r="F540" t="s">
        <v>625</v>
      </c>
      <c r="G540" t="s">
        <v>17</v>
      </c>
      <c r="H540" t="s">
        <v>15</v>
      </c>
      <c r="I540" t="s">
        <v>686</v>
      </c>
    </row>
    <row r="541" spans="1:9" x14ac:dyDescent="0.25">
      <c r="A541" t="s">
        <v>628</v>
      </c>
      <c r="B541" t="s">
        <v>627</v>
      </c>
      <c r="C541" t="s">
        <v>686</v>
      </c>
      <c r="D541">
        <v>1117</v>
      </c>
      <c r="E541" t="s">
        <v>173</v>
      </c>
      <c r="F541" t="s">
        <v>625</v>
      </c>
      <c r="G541" t="s">
        <v>17</v>
      </c>
      <c r="H541" t="s">
        <v>15</v>
      </c>
      <c r="I541" t="s">
        <v>686</v>
      </c>
    </row>
    <row r="542" spans="1:9" x14ac:dyDescent="0.25">
      <c r="A542" t="s">
        <v>629</v>
      </c>
      <c r="B542" t="s">
        <v>50</v>
      </c>
      <c r="C542" t="s">
        <v>681</v>
      </c>
      <c r="D542">
        <v>11900</v>
      </c>
      <c r="E542" t="s">
        <v>27</v>
      </c>
      <c r="F542" t="s">
        <v>625</v>
      </c>
      <c r="G542" t="s">
        <v>14</v>
      </c>
      <c r="H542" t="s">
        <v>15</v>
      </c>
      <c r="I542" t="s">
        <v>681</v>
      </c>
    </row>
    <row r="543" spans="1:9" x14ac:dyDescent="0.25">
      <c r="A543" t="s">
        <v>630</v>
      </c>
      <c r="B543" t="s">
        <v>50</v>
      </c>
      <c r="C543" t="s">
        <v>681</v>
      </c>
      <c r="D543">
        <v>11900</v>
      </c>
      <c r="E543" t="s">
        <v>27</v>
      </c>
      <c r="F543" t="s">
        <v>625</v>
      </c>
      <c r="H543" t="s">
        <v>15</v>
      </c>
      <c r="I543" t="s">
        <v>681</v>
      </c>
    </row>
    <row r="544" spans="1:9" x14ac:dyDescent="0.25">
      <c r="A544" t="s">
        <v>631</v>
      </c>
      <c r="B544" t="s">
        <v>237</v>
      </c>
      <c r="C544" t="s">
        <v>679</v>
      </c>
      <c r="D544">
        <v>11885</v>
      </c>
      <c r="E544" t="s">
        <v>27</v>
      </c>
      <c r="F544" t="s">
        <v>625</v>
      </c>
      <c r="G544" t="s">
        <v>14</v>
      </c>
      <c r="H544" t="s">
        <v>15</v>
      </c>
      <c r="I544" t="s">
        <v>679</v>
      </c>
    </row>
    <row r="545" spans="1:9" x14ac:dyDescent="0.25">
      <c r="A545" t="s">
        <v>632</v>
      </c>
      <c r="B545" t="s">
        <v>53</v>
      </c>
      <c r="C545" t="s">
        <v>676</v>
      </c>
      <c r="D545">
        <v>1110</v>
      </c>
      <c r="E545" t="s">
        <v>173</v>
      </c>
      <c r="F545" t="s">
        <v>625</v>
      </c>
      <c r="G545" t="s">
        <v>14</v>
      </c>
      <c r="H545" t="s">
        <v>15</v>
      </c>
      <c r="I545" t="s">
        <v>676</v>
      </c>
    </row>
    <row r="546" spans="1:9" x14ac:dyDescent="0.25">
      <c r="A546" t="s">
        <v>633</v>
      </c>
      <c r="B546" t="s">
        <v>56</v>
      </c>
      <c r="C546" t="s">
        <v>676</v>
      </c>
      <c r="D546">
        <v>11833</v>
      </c>
      <c r="E546" t="s">
        <v>12</v>
      </c>
      <c r="F546" t="s">
        <v>625</v>
      </c>
      <c r="G546" t="s">
        <v>14</v>
      </c>
      <c r="H546" t="s">
        <v>15</v>
      </c>
      <c r="I546" t="s">
        <v>676</v>
      </c>
    </row>
    <row r="547" spans="1:9" x14ac:dyDescent="0.25">
      <c r="A547" t="s">
        <v>634</v>
      </c>
      <c r="B547" t="s">
        <v>112</v>
      </c>
      <c r="C547" t="s">
        <v>11</v>
      </c>
      <c r="D547">
        <v>1851</v>
      </c>
      <c r="E547" t="s">
        <v>173</v>
      </c>
      <c r="F547" t="s">
        <v>625</v>
      </c>
      <c r="H547" t="s">
        <v>113</v>
      </c>
      <c r="I547" t="s">
        <v>671</v>
      </c>
    </row>
    <row r="548" spans="1:9" x14ac:dyDescent="0.25">
      <c r="A548" t="s">
        <v>635</v>
      </c>
      <c r="B548" t="s">
        <v>144</v>
      </c>
      <c r="C548" t="s">
        <v>686</v>
      </c>
      <c r="D548">
        <v>1117</v>
      </c>
      <c r="E548" t="s">
        <v>173</v>
      </c>
      <c r="F548" t="s">
        <v>625</v>
      </c>
      <c r="G548" t="s">
        <v>17</v>
      </c>
      <c r="H548" t="s">
        <v>15</v>
      </c>
      <c r="I548" t="s">
        <v>686</v>
      </c>
    </row>
    <row r="549" spans="1:9" x14ac:dyDescent="0.25">
      <c r="A549" t="s">
        <v>636</v>
      </c>
      <c r="B549" t="s">
        <v>168</v>
      </c>
      <c r="C549" t="s">
        <v>676</v>
      </c>
      <c r="D549">
        <v>1123</v>
      </c>
      <c r="E549" t="s">
        <v>173</v>
      </c>
      <c r="F549" t="s">
        <v>625</v>
      </c>
      <c r="G549" t="s">
        <v>17</v>
      </c>
      <c r="H549" t="s">
        <v>15</v>
      </c>
      <c r="I549" t="s">
        <v>676</v>
      </c>
    </row>
    <row r="550" spans="1:9" x14ac:dyDescent="0.25">
      <c r="A550" t="s">
        <v>637</v>
      </c>
      <c r="B550" t="s">
        <v>168</v>
      </c>
      <c r="C550" t="s">
        <v>676</v>
      </c>
      <c r="D550">
        <v>1111</v>
      </c>
      <c r="E550" t="s">
        <v>173</v>
      </c>
      <c r="F550" t="s">
        <v>625</v>
      </c>
      <c r="G550" t="s">
        <v>14</v>
      </c>
      <c r="H550" t="s">
        <v>15</v>
      </c>
      <c r="I550" t="s">
        <v>676</v>
      </c>
    </row>
    <row r="551" spans="1:9" x14ac:dyDescent="0.25">
      <c r="A551" t="s">
        <v>638</v>
      </c>
      <c r="B551" t="s">
        <v>29</v>
      </c>
      <c r="C551" t="s">
        <v>672</v>
      </c>
      <c r="D551">
        <v>11820</v>
      </c>
      <c r="E551" t="s">
        <v>12</v>
      </c>
      <c r="F551" t="s">
        <v>625</v>
      </c>
      <c r="G551" t="s">
        <v>14</v>
      </c>
      <c r="H551" t="s">
        <v>15</v>
      </c>
      <c r="I551" t="s">
        <v>672</v>
      </c>
    </row>
    <row r="552" spans="1:9" x14ac:dyDescent="0.25">
      <c r="A552" t="s">
        <v>639</v>
      </c>
      <c r="B552" t="s">
        <v>237</v>
      </c>
      <c r="C552" t="s">
        <v>672</v>
      </c>
      <c r="D552">
        <v>11845</v>
      </c>
      <c r="E552" t="s">
        <v>27</v>
      </c>
      <c r="F552" t="s">
        <v>625</v>
      </c>
      <c r="G552" t="s">
        <v>17</v>
      </c>
      <c r="H552" t="s">
        <v>15</v>
      </c>
      <c r="I552" t="s">
        <v>672</v>
      </c>
    </row>
    <row r="553" spans="1:9" x14ac:dyDescent="0.25">
      <c r="A553" t="s">
        <v>640</v>
      </c>
      <c r="B553" t="s">
        <v>237</v>
      </c>
      <c r="C553" t="s">
        <v>672</v>
      </c>
      <c r="D553">
        <v>11845</v>
      </c>
      <c r="E553" t="s">
        <v>27</v>
      </c>
      <c r="F553" t="s">
        <v>625</v>
      </c>
      <c r="G553" t="s">
        <v>14</v>
      </c>
      <c r="H553" t="s">
        <v>15</v>
      </c>
      <c r="I553" t="s">
        <v>672</v>
      </c>
    </row>
    <row r="554" spans="1:9" x14ac:dyDescent="0.25">
      <c r="A554" t="s">
        <v>641</v>
      </c>
      <c r="B554" t="s">
        <v>237</v>
      </c>
      <c r="C554" t="s">
        <v>672</v>
      </c>
      <c r="D554">
        <v>11851</v>
      </c>
      <c r="E554" t="s">
        <v>12</v>
      </c>
      <c r="F554" t="s">
        <v>625</v>
      </c>
      <c r="G554" t="s">
        <v>14</v>
      </c>
      <c r="H554" t="s">
        <v>15</v>
      </c>
      <c r="I554" t="s">
        <v>672</v>
      </c>
    </row>
    <row r="555" spans="1:9" x14ac:dyDescent="0.25">
      <c r="A555" t="s">
        <v>642</v>
      </c>
      <c r="B555" t="s">
        <v>34</v>
      </c>
      <c r="C555" t="s">
        <v>672</v>
      </c>
      <c r="D555">
        <v>11873</v>
      </c>
      <c r="E555" t="s">
        <v>12</v>
      </c>
      <c r="F555" t="s">
        <v>625</v>
      </c>
      <c r="G555" t="s">
        <v>14</v>
      </c>
      <c r="H555" t="s">
        <v>15</v>
      </c>
      <c r="I555" t="s">
        <v>672</v>
      </c>
    </row>
    <row r="556" spans="1:9" x14ac:dyDescent="0.25">
      <c r="A556" t="s">
        <v>643</v>
      </c>
      <c r="B556" t="s">
        <v>46</v>
      </c>
      <c r="C556" t="s">
        <v>674</v>
      </c>
      <c r="D556">
        <v>11907</v>
      </c>
      <c r="E556" t="s">
        <v>12</v>
      </c>
      <c r="F556" t="s">
        <v>625</v>
      </c>
      <c r="G556" t="s">
        <v>14</v>
      </c>
      <c r="H556" t="s">
        <v>15</v>
      </c>
      <c r="I556" t="s">
        <v>674</v>
      </c>
    </row>
    <row r="557" spans="1:9" x14ac:dyDescent="0.25">
      <c r="A557" t="s">
        <v>644</v>
      </c>
      <c r="B557" t="s">
        <v>50</v>
      </c>
      <c r="C557" t="s">
        <v>679</v>
      </c>
      <c r="D557">
        <v>1118</v>
      </c>
      <c r="E557" t="s">
        <v>173</v>
      </c>
      <c r="F557" t="s">
        <v>625</v>
      </c>
      <c r="G557" t="s">
        <v>14</v>
      </c>
      <c r="H557" t="s">
        <v>15</v>
      </c>
      <c r="I557" t="s">
        <v>679</v>
      </c>
    </row>
    <row r="558" spans="1:9" x14ac:dyDescent="0.25">
      <c r="A558" t="s">
        <v>645</v>
      </c>
      <c r="B558" t="s">
        <v>50</v>
      </c>
      <c r="C558" t="s">
        <v>679</v>
      </c>
      <c r="D558">
        <v>11834</v>
      </c>
      <c r="E558" t="s">
        <v>27</v>
      </c>
      <c r="F558" t="s">
        <v>625</v>
      </c>
      <c r="G558" t="s">
        <v>17</v>
      </c>
      <c r="H558" t="s">
        <v>15</v>
      </c>
      <c r="I558" t="s">
        <v>679</v>
      </c>
    </row>
    <row r="559" spans="1:9" x14ac:dyDescent="0.25">
      <c r="A559" t="s">
        <v>646</v>
      </c>
      <c r="B559" t="s">
        <v>180</v>
      </c>
      <c r="C559" t="s">
        <v>679</v>
      </c>
      <c r="D559">
        <v>11834</v>
      </c>
      <c r="E559" t="s">
        <v>27</v>
      </c>
      <c r="F559" t="s">
        <v>625</v>
      </c>
      <c r="G559" t="s">
        <v>14</v>
      </c>
      <c r="H559" t="s">
        <v>15</v>
      </c>
      <c r="I559" t="s">
        <v>679</v>
      </c>
    </row>
    <row r="560" spans="1:9" x14ac:dyDescent="0.25">
      <c r="A560" t="s">
        <v>647</v>
      </c>
      <c r="B560" t="s">
        <v>237</v>
      </c>
      <c r="C560" t="s">
        <v>679</v>
      </c>
      <c r="D560">
        <v>11885</v>
      </c>
      <c r="E560" t="s">
        <v>27</v>
      </c>
      <c r="F560" t="s">
        <v>625</v>
      </c>
      <c r="G560" t="s">
        <v>17</v>
      </c>
      <c r="H560" t="s">
        <v>15</v>
      </c>
      <c r="I560" t="s">
        <v>679</v>
      </c>
    </row>
    <row r="561" spans="1:9" x14ac:dyDescent="0.25">
      <c r="A561" t="s">
        <v>648</v>
      </c>
      <c r="B561" t="s">
        <v>53</v>
      </c>
      <c r="C561" t="s">
        <v>679</v>
      </c>
      <c r="D561">
        <v>11885</v>
      </c>
      <c r="E561" t="s">
        <v>27</v>
      </c>
      <c r="F561" t="s">
        <v>625</v>
      </c>
      <c r="G561" t="s">
        <v>14</v>
      </c>
      <c r="H561" t="s">
        <v>15</v>
      </c>
      <c r="I561" t="s">
        <v>679</v>
      </c>
    </row>
    <row r="562" spans="1:9" x14ac:dyDescent="0.25">
      <c r="A562" t="s">
        <v>649</v>
      </c>
      <c r="B562" t="s">
        <v>37</v>
      </c>
      <c r="C562" t="s">
        <v>676</v>
      </c>
      <c r="D562">
        <v>11930</v>
      </c>
      <c r="E562" t="s">
        <v>12</v>
      </c>
      <c r="F562" t="s">
        <v>625</v>
      </c>
      <c r="G562" t="s">
        <v>14</v>
      </c>
      <c r="H562" t="s">
        <v>15</v>
      </c>
      <c r="I562" t="s">
        <v>676</v>
      </c>
    </row>
    <row r="563" spans="1:9" x14ac:dyDescent="0.25">
      <c r="A563" t="s">
        <v>650</v>
      </c>
      <c r="B563" t="s">
        <v>56</v>
      </c>
      <c r="C563" t="s">
        <v>677</v>
      </c>
      <c r="D563">
        <v>11841</v>
      </c>
      <c r="E563" t="s">
        <v>27</v>
      </c>
      <c r="F563" t="s">
        <v>625</v>
      </c>
      <c r="G563" t="s">
        <v>14</v>
      </c>
      <c r="H563" t="s">
        <v>15</v>
      </c>
      <c r="I563" t="s">
        <v>677</v>
      </c>
    </row>
    <row r="564" spans="1:9" x14ac:dyDescent="0.25">
      <c r="A564" t="s">
        <v>651</v>
      </c>
      <c r="B564" t="s">
        <v>60</v>
      </c>
      <c r="C564" t="s">
        <v>675</v>
      </c>
      <c r="D564">
        <v>11947</v>
      </c>
      <c r="E564" t="s">
        <v>12</v>
      </c>
      <c r="F564" t="s">
        <v>625</v>
      </c>
      <c r="G564" t="s">
        <v>14</v>
      </c>
      <c r="H564" t="s">
        <v>15</v>
      </c>
      <c r="I564" t="s">
        <v>675</v>
      </c>
    </row>
    <row r="565" spans="1:9" x14ac:dyDescent="0.25">
      <c r="A565" t="s">
        <v>652</v>
      </c>
      <c r="B565" t="s">
        <v>56</v>
      </c>
      <c r="C565" t="s">
        <v>678</v>
      </c>
      <c r="D565">
        <v>11921</v>
      </c>
      <c r="E565" t="s">
        <v>27</v>
      </c>
      <c r="F565" t="s">
        <v>625</v>
      </c>
      <c r="G565" t="s">
        <v>17</v>
      </c>
      <c r="H565" t="s">
        <v>15</v>
      </c>
      <c r="I565" t="s">
        <v>678</v>
      </c>
    </row>
    <row r="566" spans="1:9" x14ac:dyDescent="0.25">
      <c r="A566" t="s">
        <v>653</v>
      </c>
      <c r="B566" t="s">
        <v>63</v>
      </c>
      <c r="C566" t="s">
        <v>676</v>
      </c>
      <c r="D566">
        <v>11942</v>
      </c>
      <c r="E566" t="s">
        <v>12</v>
      </c>
      <c r="F566" t="s">
        <v>625</v>
      </c>
      <c r="G566" t="s">
        <v>14</v>
      </c>
      <c r="H566" t="s">
        <v>15</v>
      </c>
      <c r="I566" t="s">
        <v>676</v>
      </c>
    </row>
    <row r="567" spans="1:9" x14ac:dyDescent="0.25">
      <c r="A567" t="s">
        <v>654</v>
      </c>
      <c r="B567" t="s">
        <v>63</v>
      </c>
      <c r="C567" t="s">
        <v>676</v>
      </c>
      <c r="D567">
        <v>11942</v>
      </c>
      <c r="E567" t="s">
        <v>12</v>
      </c>
      <c r="F567" t="s">
        <v>625</v>
      </c>
      <c r="G567" t="s">
        <v>17</v>
      </c>
      <c r="H567" t="s">
        <v>15</v>
      </c>
      <c r="I567" t="s">
        <v>676</v>
      </c>
    </row>
    <row r="568" spans="1:9" x14ac:dyDescent="0.25">
      <c r="A568" t="s">
        <v>655</v>
      </c>
      <c r="B568" t="s">
        <v>237</v>
      </c>
      <c r="C568" t="s">
        <v>672</v>
      </c>
      <c r="D568">
        <v>11845</v>
      </c>
      <c r="E568" t="s">
        <v>27</v>
      </c>
      <c r="F568" t="s">
        <v>625</v>
      </c>
      <c r="G568" t="s">
        <v>17</v>
      </c>
      <c r="H568" t="s">
        <v>15</v>
      </c>
      <c r="I568" t="s">
        <v>672</v>
      </c>
    </row>
    <row r="569" spans="1:9" x14ac:dyDescent="0.25">
      <c r="A569" t="s">
        <v>656</v>
      </c>
      <c r="B569" t="s">
        <v>237</v>
      </c>
      <c r="C569" t="s">
        <v>672</v>
      </c>
      <c r="D569">
        <v>11845</v>
      </c>
      <c r="E569" t="s">
        <v>27</v>
      </c>
      <c r="F569" t="s">
        <v>625</v>
      </c>
      <c r="G569" t="s">
        <v>14</v>
      </c>
      <c r="H569" t="s">
        <v>15</v>
      </c>
      <c r="I569" t="s">
        <v>672</v>
      </c>
    </row>
    <row r="570" spans="1:9" x14ac:dyDescent="0.25">
      <c r="A570" t="s">
        <v>657</v>
      </c>
      <c r="B570" t="s">
        <v>34</v>
      </c>
      <c r="C570" t="s">
        <v>672</v>
      </c>
      <c r="D570">
        <v>11851</v>
      </c>
      <c r="E570" t="s">
        <v>12</v>
      </c>
      <c r="F570" t="s">
        <v>625</v>
      </c>
      <c r="G570" t="s">
        <v>17</v>
      </c>
      <c r="H570" t="s">
        <v>15</v>
      </c>
      <c r="I570" t="s">
        <v>672</v>
      </c>
    </row>
    <row r="571" spans="1:9" x14ac:dyDescent="0.25">
      <c r="A571" t="s">
        <v>658</v>
      </c>
      <c r="B571" t="s">
        <v>34</v>
      </c>
      <c r="C571" t="s">
        <v>672</v>
      </c>
      <c r="D571">
        <v>11851</v>
      </c>
      <c r="E571" t="s">
        <v>12</v>
      </c>
      <c r="F571" t="s">
        <v>625</v>
      </c>
      <c r="G571" t="s">
        <v>14</v>
      </c>
      <c r="H571" t="s">
        <v>15</v>
      </c>
      <c r="I571" t="s">
        <v>672</v>
      </c>
    </row>
    <row r="572" spans="1:9" x14ac:dyDescent="0.25">
      <c r="A572" t="s">
        <v>659</v>
      </c>
      <c r="B572" t="s">
        <v>34</v>
      </c>
      <c r="C572" t="s">
        <v>672</v>
      </c>
      <c r="D572">
        <v>11873</v>
      </c>
      <c r="E572" t="s">
        <v>12</v>
      </c>
      <c r="F572" t="s">
        <v>625</v>
      </c>
      <c r="G572" t="s">
        <v>14</v>
      </c>
      <c r="H572" t="s">
        <v>15</v>
      </c>
      <c r="I572" t="s">
        <v>672</v>
      </c>
    </row>
    <row r="573" spans="1:9" x14ac:dyDescent="0.25">
      <c r="A573" t="s">
        <v>660</v>
      </c>
      <c r="B573" t="s">
        <v>46</v>
      </c>
      <c r="C573" t="s">
        <v>674</v>
      </c>
      <c r="D573">
        <v>11907</v>
      </c>
      <c r="E573" t="s">
        <v>12</v>
      </c>
      <c r="F573" t="s">
        <v>625</v>
      </c>
      <c r="G573" t="s">
        <v>14</v>
      </c>
      <c r="H573" t="s">
        <v>15</v>
      </c>
      <c r="I573" t="s">
        <v>674</v>
      </c>
    </row>
    <row r="574" spans="1:9" x14ac:dyDescent="0.25">
      <c r="A574" t="s">
        <v>661</v>
      </c>
      <c r="B574" t="s">
        <v>50</v>
      </c>
      <c r="C574" t="s">
        <v>679</v>
      </c>
      <c r="D574">
        <v>11834</v>
      </c>
      <c r="E574" t="s">
        <v>27</v>
      </c>
      <c r="F574" t="s">
        <v>625</v>
      </c>
      <c r="G574" t="s">
        <v>17</v>
      </c>
      <c r="H574" t="s">
        <v>15</v>
      </c>
      <c r="I574" t="s">
        <v>679</v>
      </c>
    </row>
    <row r="575" spans="1:9" x14ac:dyDescent="0.25">
      <c r="A575" t="s">
        <v>662</v>
      </c>
      <c r="B575" t="s">
        <v>180</v>
      </c>
      <c r="C575" t="s">
        <v>679</v>
      </c>
      <c r="D575">
        <v>11834</v>
      </c>
      <c r="E575" t="s">
        <v>27</v>
      </c>
      <c r="F575" t="s">
        <v>625</v>
      </c>
      <c r="G575" t="s">
        <v>14</v>
      </c>
      <c r="H575" t="s">
        <v>15</v>
      </c>
      <c r="I575" t="s">
        <v>679</v>
      </c>
    </row>
    <row r="576" spans="1:9" x14ac:dyDescent="0.25">
      <c r="A576" t="s">
        <v>663</v>
      </c>
      <c r="B576" t="s">
        <v>180</v>
      </c>
      <c r="C576" t="s">
        <v>679</v>
      </c>
      <c r="D576">
        <v>11885</v>
      </c>
      <c r="E576" t="s">
        <v>27</v>
      </c>
      <c r="F576" t="s">
        <v>625</v>
      </c>
      <c r="G576" t="s">
        <v>17</v>
      </c>
      <c r="H576" t="s">
        <v>15</v>
      </c>
      <c r="I576" t="s">
        <v>679</v>
      </c>
    </row>
    <row r="577" spans="1:9" x14ac:dyDescent="0.25">
      <c r="A577" t="s">
        <v>664</v>
      </c>
      <c r="B577" t="s">
        <v>56</v>
      </c>
      <c r="C577" t="s">
        <v>677</v>
      </c>
      <c r="D577">
        <v>11841</v>
      </c>
      <c r="E577" t="s">
        <v>27</v>
      </c>
      <c r="F577" t="s">
        <v>625</v>
      </c>
      <c r="G577" t="s">
        <v>14</v>
      </c>
      <c r="H577" t="s">
        <v>15</v>
      </c>
      <c r="I577" t="s">
        <v>677</v>
      </c>
    </row>
    <row r="578" spans="1:9" x14ac:dyDescent="0.25">
      <c r="A578" t="s">
        <v>665</v>
      </c>
      <c r="B578" t="s">
        <v>180</v>
      </c>
      <c r="C578" t="s">
        <v>679</v>
      </c>
      <c r="D578">
        <v>1118</v>
      </c>
      <c r="E578" t="s">
        <v>173</v>
      </c>
      <c r="F578" t="s">
        <v>625</v>
      </c>
      <c r="G578" t="s">
        <v>14</v>
      </c>
      <c r="H578" t="s">
        <v>15</v>
      </c>
      <c r="I578" t="s">
        <v>679</v>
      </c>
    </row>
    <row r="579" spans="1:9" x14ac:dyDescent="0.25">
      <c r="A579" t="s">
        <v>666</v>
      </c>
      <c r="B579" t="s">
        <v>168</v>
      </c>
      <c r="C579" t="s">
        <v>676</v>
      </c>
      <c r="D579">
        <v>1110</v>
      </c>
      <c r="E579" t="s">
        <v>173</v>
      </c>
      <c r="F579" t="s">
        <v>625</v>
      </c>
      <c r="G579" t="s">
        <v>14</v>
      </c>
      <c r="H579" t="s">
        <v>15</v>
      </c>
      <c r="I579" t="s">
        <v>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metadata_ebi_processed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Minh Ngoc</dc:creator>
  <cp:lastModifiedBy>Vu Minh Ngoc</cp:lastModifiedBy>
  <dcterms:created xsi:type="dcterms:W3CDTF">2026-01-26T13:17:09Z</dcterms:created>
  <dcterms:modified xsi:type="dcterms:W3CDTF">2026-01-26T16:10:03Z</dcterms:modified>
</cp:coreProperties>
</file>