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titutcurie-my.sharepoint.com/personal/minh-ngoc_vu_curie_fr/Documents/"/>
    </mc:Choice>
  </mc:AlternateContent>
  <xr:revisionPtr revIDLastSave="194" documentId="8_{04F7DBC9-6B75-4C4A-B62D-D03853B308A8}" xr6:coauthVersionLast="47" xr6:coauthVersionMax="47" xr10:uidLastSave="{35D8B949-285B-40E7-8C5E-EE3D46CE872D}"/>
  <bookViews>
    <workbookView xWindow="2850" yWindow="1215" windowWidth="25950" windowHeight="12855" tabRatio="601" xr2:uid="{67031538-6329-4A71-B541-AA96840284FE}"/>
  </bookViews>
  <sheets>
    <sheet name="N0" sheetId="2" r:id="rId1"/>
    <sheet name="N1" sheetId="1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2" l="1"/>
  <c r="S23" i="2"/>
  <c r="R24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" i="2"/>
  <c r="Q33" i="1"/>
  <c r="Q25" i="1"/>
  <c r="Q26" i="1"/>
  <c r="Q24" i="1"/>
  <c r="E3" i="1"/>
  <c r="C27" i="1"/>
  <c r="Q27" i="1"/>
  <c r="I3" i="1"/>
  <c r="E2" i="1"/>
  <c r="F2" i="1"/>
  <c r="H2" i="1"/>
  <c r="H17" i="1"/>
  <c r="I2" i="1"/>
  <c r="J2" i="1"/>
  <c r="K2" i="1"/>
  <c r="L2" i="1"/>
  <c r="M2" i="1"/>
  <c r="N2" i="1"/>
  <c r="O2" i="1"/>
  <c r="P2" i="1"/>
  <c r="Q2" i="1"/>
  <c r="R2" i="1"/>
  <c r="S2" i="1"/>
  <c r="J27" i="1"/>
  <c r="D27" i="1"/>
  <c r="E27" i="1"/>
  <c r="F27" i="1"/>
  <c r="G27" i="1"/>
  <c r="H27" i="1"/>
  <c r="I27" i="1"/>
  <c r="K27" i="1"/>
  <c r="L27" i="1"/>
  <c r="M27" i="1"/>
  <c r="N27" i="1"/>
  <c r="O27" i="1"/>
  <c r="P27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C11" i="1"/>
  <c r="C3" i="1"/>
  <c r="C2" i="1"/>
  <c r="C17" i="1"/>
  <c r="D3" i="1"/>
  <c r="D2" i="1"/>
  <c r="D17" i="1"/>
  <c r="F3" i="1"/>
  <c r="G3" i="1"/>
  <c r="G2" i="1"/>
  <c r="G17" i="1"/>
  <c r="H3" i="1"/>
  <c r="J3" i="1"/>
  <c r="K3" i="1"/>
  <c r="L3" i="1"/>
  <c r="M3" i="1"/>
  <c r="N3" i="1"/>
  <c r="O3" i="1"/>
  <c r="P3" i="1"/>
  <c r="Q3" i="1"/>
  <c r="R3" i="1"/>
  <c r="S3" i="1"/>
  <c r="E17" i="1"/>
  <c r="I17" i="1"/>
  <c r="F17" i="1"/>
  <c r="R17" i="1"/>
  <c r="P17" i="1"/>
  <c r="O17" i="1"/>
  <c r="N17" i="1"/>
  <c r="L17" i="1"/>
  <c r="K17" i="1"/>
  <c r="Q17" i="1"/>
  <c r="M17" i="1"/>
  <c r="J17" i="1"/>
</calcChain>
</file>

<file path=xl/sharedStrings.xml><?xml version="1.0" encoding="utf-8"?>
<sst xmlns="http://schemas.openxmlformats.org/spreadsheetml/2006/main" count="44" uniqueCount="22">
  <si>
    <t>Any stage</t>
  </si>
  <si>
    <t>  Forebrain</t>
  </si>
  <si>
    <t>    Telencephalon</t>
  </si>
  <si>
    <t>      Cortex</t>
  </si>
  <si>
    <t>      Temporal lobe</t>
  </si>
  <si>
    <t>      Basal ganglia</t>
  </si>
  <si>
    <t>      Whole telencephalon</t>
  </si>
  <si>
    <t>      Telencephalon fragments</t>
  </si>
  <si>
    <t>    Diencephalon</t>
  </si>
  <si>
    <t>    Whole forebrain</t>
  </si>
  <si>
    <t>    Forebrain fragments</t>
  </si>
  <si>
    <t>  Midbrain</t>
  </si>
  <si>
    <t>  Hindbrain</t>
  </si>
  <si>
    <t>    Cerebellum</t>
  </si>
  <si>
    <t>    Pons</t>
  </si>
  <si>
    <t>    Medulla oblongata</t>
  </si>
  <si>
    <t>    Whole hindbrain</t>
  </si>
  <si>
    <t>    Hindbrain fragments</t>
  </si>
  <si>
    <t>  Brain fragments</t>
  </si>
  <si>
    <t>All</t>
  </si>
  <si>
    <t>PCW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</si>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</sst>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rgb="FFFF0000"/>
      <name val="Aptos Narrow"/>
      <family val="2"/>
      <scheme val="minor"/>
    </font>
    <font>
      <sz val="9"/>
      <color theme="4" tint="0.39997558519241921"/>
      <name val="Arial"/>
      <family val="2"/>
    </font>
    <font>
      <sz val="9"/>
      <color theme="4" tint="0.39997558519241921"/>
      <name val="Aptos Narrow"/>
      <family val="2"/>
      <scheme val="minor"/>
    </font>
    <font>
      <b/>
      <sz val="9"/>
      <color theme="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 applyAlignment="0">
      <alignment vertical="center" wrapText="1"/>
    </xf>
  </cellStyleXfs>
  <cellXfs count="2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1" fillId="2" borderId="0" xfId="0" applyFont="1" applyFill="1" applyAlignment="1">
      <alignment vertical="center" wrapText="1"/>
    </xf>
    <xf numFmtId="0" fontId="2" fillId="2" borderId="0" xfId="0" applyFont="1" applyFill="1"/>
    <xf numFmtId="1" fontId="3" fillId="0" borderId="0" xfId="0" applyNumberFormat="1" applyFont="1" applyAlignment="1">
      <alignment vertical="center" wrapText="1"/>
    </xf>
    <xf numFmtId="1" fontId="6" fillId="0" borderId="0" xfId="0" applyNumberFormat="1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3" borderId="0" xfId="0" applyFont="1" applyFill="1"/>
    <xf numFmtId="0" fontId="1" fillId="3" borderId="0" xfId="0" applyFont="1" applyFill="1" applyAlignment="1">
      <alignment vertical="center" wrapText="1"/>
    </xf>
    <xf numFmtId="0" fontId="7" fillId="3" borderId="0" xfId="0" applyFont="1" applyFill="1"/>
    <xf numFmtId="0" fontId="9" fillId="3" borderId="2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horizontal="right" vertical="center" wrapText="1" indent="1"/>
    </xf>
    <xf numFmtId="0" fontId="9" fillId="3" borderId="3" xfId="0" applyFont="1" applyFill="1" applyBorder="1" applyAlignment="1">
      <alignment horizontal="right" vertical="center" wrapText="1" indent="1"/>
    </xf>
    <xf numFmtId="0" fontId="10" fillId="3" borderId="0" xfId="0" applyFont="1" applyFill="1" applyAlignment="1">
      <alignment vertical="center" wrapText="1"/>
    </xf>
    <xf numFmtId="0" fontId="10" fillId="0" borderId="0" xfId="0" applyFont="1" applyAlignment="1">
      <alignment horizontal="right" vertical="center" wrapText="1" indent="1"/>
    </xf>
    <xf numFmtId="0" fontId="10" fillId="3" borderId="0" xfId="0" applyFont="1" applyFill="1" applyAlignment="1">
      <alignment horizontal="right" vertical="center" wrapText="1" indent="1"/>
    </xf>
    <xf numFmtId="0" fontId="9" fillId="3" borderId="0" xfId="0" applyFont="1" applyFill="1" applyAlignment="1">
      <alignment horizontal="right" vertical="center" wrapText="1" indent="1"/>
    </xf>
    <xf numFmtId="0" fontId="9" fillId="3" borderId="1" xfId="0" applyFont="1" applyFill="1" applyBorder="1" applyAlignment="1">
      <alignment horizontal="right" vertical="center" wrapText="1" indent="1"/>
    </xf>
    <xf numFmtId="0" fontId="4" fillId="4" borderId="0" xfId="0" applyFont="1" applyFill="1" applyAlignment="1">
      <alignment vertical="center" wrapText="1"/>
    </xf>
    <xf numFmtId="0" fontId="2" fillId="4" borderId="0" xfId="0" applyFont="1" applyFill="1"/>
    <xf numFmtId="0" fontId="5" fillId="4" borderId="0" xfId="0" applyFont="1" applyFill="1"/>
  </cellXfs>
  <cellStyles count="2">
    <cellStyle name="Normal" xfId="0" builtinId="0"/>
    <cellStyle name="Style 1" xfId="1" xr:uid="{37E35A57-C285-40E4-879C-1C45AF81FAE5}"/>
  </cellStyles>
  <dxfs count="0"/>
  <tableStyles count="0" defaultTableStyle="TableStyleMedium2" defaultPivotStyle="PivotStyleLight16"/>
  <colors>
    <mruColors>
      <color rgb="FF7D7D7D"/>
      <color rgb="FFE8E8E8"/>
      <color rgb="FFFFEAD5"/>
      <color rgb="FFFFE0C1"/>
      <color rgb="FFFFD9B3"/>
      <color rgb="FFE86A2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EAAC6-FF70-44A0-8FD5-667E8061C64F}">
  <dimension ref="A1:S24"/>
  <sheetViews>
    <sheetView tabSelected="1" workbookViewId="0">
      <selection activeCell="B11" sqref="B11"/>
    </sheetView>
  </sheetViews>
  <sheetFormatPr defaultColWidth="11.42578125" defaultRowHeight="12" x14ac:dyDescent="0.2"/>
  <cols>
    <col min="1" max="1" width="35.42578125" style="2" customWidth="1"/>
    <col min="2" max="16384" width="11.42578125" style="2"/>
  </cols>
  <sheetData>
    <row r="1" spans="1:18" x14ac:dyDescent="0.2">
      <c r="A1" s="1" t="s">
        <v>20</v>
      </c>
      <c r="B1" s="1">
        <v>4</v>
      </c>
      <c r="C1" s="1">
        <v>5</v>
      </c>
      <c r="D1" s="1">
        <v>6</v>
      </c>
      <c r="E1" s="1">
        <v>7</v>
      </c>
      <c r="F1" s="1">
        <v>8</v>
      </c>
      <c r="G1" s="1">
        <v>9</v>
      </c>
      <c r="H1" s="1">
        <v>10</v>
      </c>
      <c r="I1" s="1">
        <v>11</v>
      </c>
      <c r="J1" s="1">
        <v>12</v>
      </c>
      <c r="K1" s="1">
        <v>13</v>
      </c>
      <c r="L1" s="1">
        <v>14</v>
      </c>
      <c r="M1" s="1">
        <v>15</v>
      </c>
      <c r="N1" s="1">
        <v>16</v>
      </c>
      <c r="O1" s="1">
        <v>17</v>
      </c>
      <c r="P1" s="1">
        <v>19</v>
      </c>
      <c r="Q1" s="1">
        <v>20</v>
      </c>
      <c r="R1" s="1" t="s">
        <v>0</v>
      </c>
    </row>
    <row r="2" spans="1:18" x14ac:dyDescent="0.2">
      <c r="A2" s="3" t="s">
        <v>1</v>
      </c>
      <c r="B2" s="3">
        <v>1</v>
      </c>
      <c r="C2" s="3">
        <v>2</v>
      </c>
      <c r="D2" s="3">
        <v>1</v>
      </c>
      <c r="E2" s="3">
        <v>1</v>
      </c>
      <c r="F2" s="3">
        <v>74</v>
      </c>
      <c r="G2" s="3">
        <v>57</v>
      </c>
      <c r="H2" s="3">
        <v>17</v>
      </c>
      <c r="I2" s="3">
        <v>46</v>
      </c>
      <c r="J2" s="3">
        <v>52</v>
      </c>
      <c r="K2" s="3">
        <v>14</v>
      </c>
      <c r="L2" s="3">
        <v>8</v>
      </c>
      <c r="M2" s="3">
        <v>10</v>
      </c>
      <c r="N2" s="3">
        <v>16</v>
      </c>
      <c r="O2" s="3">
        <v>6</v>
      </c>
      <c r="P2" s="3"/>
      <c r="Q2" s="3"/>
      <c r="R2" s="2">
        <f>SUM(B2:Q2)</f>
        <v>305</v>
      </c>
    </row>
    <row r="3" spans="1:18" x14ac:dyDescent="0.2">
      <c r="A3" s="3" t="s">
        <v>2</v>
      </c>
      <c r="B3" s="3"/>
      <c r="C3" s="3"/>
      <c r="D3" s="3"/>
      <c r="E3" s="3"/>
      <c r="F3" s="3">
        <v>48</v>
      </c>
      <c r="G3" s="3">
        <v>46</v>
      </c>
      <c r="H3" s="3">
        <v>11</v>
      </c>
      <c r="I3" s="3">
        <v>38</v>
      </c>
      <c r="J3" s="3">
        <v>45</v>
      </c>
      <c r="K3" s="3">
        <v>10</v>
      </c>
      <c r="L3" s="3">
        <v>7</v>
      </c>
      <c r="M3" s="3">
        <v>10</v>
      </c>
      <c r="N3" s="3">
        <v>15</v>
      </c>
      <c r="O3" s="3">
        <v>6</v>
      </c>
      <c r="P3" s="3"/>
      <c r="Q3" s="3"/>
      <c r="R3" s="2">
        <f t="shared" ref="R3:R19" si="0">SUM(B3:Q3)</f>
        <v>236</v>
      </c>
    </row>
    <row r="4" spans="1:18" x14ac:dyDescent="0.2">
      <c r="A4" s="3" t="s">
        <v>3</v>
      </c>
      <c r="B4" s="3"/>
      <c r="C4" s="3"/>
      <c r="D4" s="3"/>
      <c r="E4" s="3"/>
      <c r="F4" s="3">
        <v>16</v>
      </c>
      <c r="G4" s="3">
        <v>28</v>
      </c>
      <c r="H4" s="3">
        <v>4</v>
      </c>
      <c r="I4" s="3">
        <v>18</v>
      </c>
      <c r="J4" s="3">
        <v>25</v>
      </c>
      <c r="K4" s="3">
        <v>6</v>
      </c>
      <c r="L4" s="3">
        <v>4</v>
      </c>
      <c r="M4" s="3">
        <v>8</v>
      </c>
      <c r="N4" s="3">
        <v>10</v>
      </c>
      <c r="O4" s="3">
        <v>3</v>
      </c>
      <c r="P4" s="3"/>
      <c r="Q4" s="3"/>
      <c r="R4" s="2">
        <f t="shared" si="0"/>
        <v>122</v>
      </c>
    </row>
    <row r="5" spans="1:18" x14ac:dyDescent="0.2">
      <c r="A5" s="3" t="s">
        <v>4</v>
      </c>
      <c r="B5" s="3"/>
      <c r="C5" s="3"/>
      <c r="D5" s="3"/>
      <c r="E5" s="3"/>
      <c r="F5" s="3">
        <v>1</v>
      </c>
      <c r="G5" s="3">
        <v>11</v>
      </c>
      <c r="H5" s="3">
        <v>2</v>
      </c>
      <c r="I5" s="3">
        <v>8</v>
      </c>
      <c r="J5" s="3">
        <v>10</v>
      </c>
      <c r="K5" s="3">
        <v>1</v>
      </c>
      <c r="L5" s="3">
        <v>2</v>
      </c>
      <c r="M5" s="3">
        <v>2</v>
      </c>
      <c r="N5" s="3">
        <v>3</v>
      </c>
      <c r="O5" s="3">
        <v>2</v>
      </c>
      <c r="P5" s="3"/>
      <c r="Q5" s="3"/>
      <c r="R5" s="2">
        <f t="shared" si="0"/>
        <v>42</v>
      </c>
    </row>
    <row r="6" spans="1:18" x14ac:dyDescent="0.2">
      <c r="A6" s="3" t="s">
        <v>5</v>
      </c>
      <c r="B6" s="3"/>
      <c r="C6" s="3"/>
      <c r="D6" s="3"/>
      <c r="E6" s="3"/>
      <c r="F6" s="3">
        <v>15</v>
      </c>
      <c r="G6" s="3">
        <v>5</v>
      </c>
      <c r="H6" s="3">
        <v>1</v>
      </c>
      <c r="I6" s="3">
        <v>5</v>
      </c>
      <c r="J6" s="3">
        <v>2</v>
      </c>
      <c r="K6" s="3">
        <v>3</v>
      </c>
      <c r="L6" s="3"/>
      <c r="M6" s="3"/>
      <c r="N6" s="3">
        <v>1</v>
      </c>
      <c r="O6" s="3">
        <v>1</v>
      </c>
      <c r="P6" s="3"/>
      <c r="Q6" s="3"/>
      <c r="R6" s="2">
        <f t="shared" si="0"/>
        <v>33</v>
      </c>
    </row>
    <row r="7" spans="1:18" x14ac:dyDescent="0.2">
      <c r="A7" s="3" t="s">
        <v>6</v>
      </c>
      <c r="B7" s="3"/>
      <c r="C7" s="3"/>
      <c r="D7" s="3"/>
      <c r="E7" s="3"/>
      <c r="F7" s="3">
        <v>16</v>
      </c>
      <c r="G7" s="3">
        <v>2</v>
      </c>
      <c r="H7" s="3"/>
      <c r="I7" s="3">
        <v>1</v>
      </c>
      <c r="J7" s="3"/>
      <c r="K7" s="3"/>
      <c r="L7" s="3">
        <v>1</v>
      </c>
      <c r="M7" s="3"/>
      <c r="N7" s="3">
        <v>1</v>
      </c>
      <c r="O7" s="3"/>
      <c r="P7" s="3"/>
      <c r="Q7" s="3"/>
      <c r="R7" s="2">
        <f t="shared" si="0"/>
        <v>21</v>
      </c>
    </row>
    <row r="8" spans="1:18" s="26" customFormat="1" x14ac:dyDescent="0.2">
      <c r="A8" s="24" t="s">
        <v>7</v>
      </c>
      <c r="B8" s="24"/>
      <c r="C8" s="24"/>
      <c r="D8" s="24"/>
      <c r="E8" s="24"/>
      <c r="F8" s="24"/>
      <c r="G8" s="24"/>
      <c r="H8" s="24">
        <v>4</v>
      </c>
      <c r="I8" s="24">
        <v>6</v>
      </c>
      <c r="J8" s="24">
        <v>8</v>
      </c>
      <c r="K8" s="24"/>
      <c r="L8" s="24"/>
      <c r="M8" s="24"/>
      <c r="N8" s="24"/>
      <c r="O8" s="24"/>
      <c r="P8" s="24"/>
      <c r="Q8" s="24"/>
      <c r="R8" s="25">
        <f t="shared" si="0"/>
        <v>18</v>
      </c>
    </row>
    <row r="9" spans="1:18" x14ac:dyDescent="0.2">
      <c r="A9" s="3" t="s">
        <v>8</v>
      </c>
      <c r="B9" s="3"/>
      <c r="C9" s="3"/>
      <c r="D9" s="3"/>
      <c r="E9" s="3"/>
      <c r="F9" s="3">
        <v>19</v>
      </c>
      <c r="G9" s="3">
        <v>6</v>
      </c>
      <c r="H9" s="3">
        <v>4</v>
      </c>
      <c r="I9" s="3">
        <v>5</v>
      </c>
      <c r="J9" s="3">
        <v>3</v>
      </c>
      <c r="K9" s="3">
        <v>3</v>
      </c>
      <c r="L9" s="3">
        <v>1</v>
      </c>
      <c r="M9" s="3"/>
      <c r="N9" s="3">
        <v>1</v>
      </c>
      <c r="O9" s="3"/>
      <c r="P9" s="3"/>
      <c r="Q9" s="3"/>
      <c r="R9" s="2">
        <f t="shared" si="0"/>
        <v>42</v>
      </c>
    </row>
    <row r="10" spans="1:18" x14ac:dyDescent="0.2">
      <c r="A10" s="3" t="s">
        <v>9</v>
      </c>
      <c r="B10" s="3">
        <v>1</v>
      </c>
      <c r="C10" s="3">
        <v>2</v>
      </c>
      <c r="D10" s="3">
        <v>1</v>
      </c>
      <c r="E10" s="3">
        <v>1</v>
      </c>
      <c r="F10" s="3">
        <v>3</v>
      </c>
      <c r="G10" s="3">
        <v>3</v>
      </c>
      <c r="H10" s="3">
        <v>2</v>
      </c>
      <c r="I10" s="3">
        <v>2</v>
      </c>
      <c r="J10" s="3">
        <v>3</v>
      </c>
      <c r="K10" s="3"/>
      <c r="L10" s="3"/>
      <c r="M10" s="3"/>
      <c r="N10" s="3"/>
      <c r="O10" s="3"/>
      <c r="P10" s="3"/>
      <c r="Q10" s="3"/>
      <c r="R10" s="2">
        <f t="shared" si="0"/>
        <v>18</v>
      </c>
    </row>
    <row r="11" spans="1:18" s="26" customFormat="1" x14ac:dyDescent="0.2">
      <c r="A11" s="24" t="s">
        <v>10</v>
      </c>
      <c r="B11" s="24"/>
      <c r="C11" s="24"/>
      <c r="D11" s="24"/>
      <c r="E11" s="24"/>
      <c r="F11" s="24">
        <v>4</v>
      </c>
      <c r="G11" s="24">
        <v>2</v>
      </c>
      <c r="H11" s="24"/>
      <c r="I11" s="24">
        <v>1</v>
      </c>
      <c r="J11" s="24">
        <v>1</v>
      </c>
      <c r="K11" s="24">
        <v>1</v>
      </c>
      <c r="L11" s="24"/>
      <c r="M11" s="24"/>
      <c r="N11" s="24"/>
      <c r="O11" s="24"/>
      <c r="P11" s="24"/>
      <c r="Q11" s="24"/>
      <c r="R11" s="25">
        <f t="shared" si="0"/>
        <v>9</v>
      </c>
    </row>
    <row r="12" spans="1:18" x14ac:dyDescent="0.2">
      <c r="A12" s="3" t="s">
        <v>11</v>
      </c>
      <c r="B12" s="3">
        <v>1</v>
      </c>
      <c r="C12" s="3">
        <v>2</v>
      </c>
      <c r="D12" s="3">
        <v>1</v>
      </c>
      <c r="E12" s="3">
        <v>1</v>
      </c>
      <c r="F12" s="3">
        <v>22</v>
      </c>
      <c r="G12" s="3">
        <v>8</v>
      </c>
      <c r="H12" s="3">
        <v>3</v>
      </c>
      <c r="I12" s="3">
        <v>4</v>
      </c>
      <c r="J12" s="3">
        <v>10</v>
      </c>
      <c r="K12" s="3">
        <v>3</v>
      </c>
      <c r="L12" s="3"/>
      <c r="M12" s="3"/>
      <c r="N12" s="3">
        <v>1</v>
      </c>
      <c r="O12" s="3"/>
      <c r="P12" s="3"/>
      <c r="Q12" s="3"/>
      <c r="R12" s="2">
        <f t="shared" si="0"/>
        <v>56</v>
      </c>
    </row>
    <row r="13" spans="1:18" x14ac:dyDescent="0.2">
      <c r="A13" s="3" t="s">
        <v>12</v>
      </c>
      <c r="B13" s="3"/>
      <c r="C13" s="3">
        <v>2</v>
      </c>
      <c r="D13" s="3">
        <v>1</v>
      </c>
      <c r="E13" s="3">
        <v>3</v>
      </c>
      <c r="F13" s="3">
        <v>42</v>
      </c>
      <c r="G13" s="3">
        <v>15</v>
      </c>
      <c r="H13" s="3">
        <v>5</v>
      </c>
      <c r="I13" s="3">
        <v>8</v>
      </c>
      <c r="J13" s="3">
        <v>11</v>
      </c>
      <c r="K13" s="3">
        <v>4</v>
      </c>
      <c r="L13" s="3">
        <v>2</v>
      </c>
      <c r="M13" s="3"/>
      <c r="N13" s="3">
        <v>3</v>
      </c>
      <c r="O13" s="3">
        <v>1</v>
      </c>
      <c r="P13" s="3"/>
      <c r="Q13" s="3"/>
      <c r="R13" s="2">
        <f t="shared" si="0"/>
        <v>97</v>
      </c>
    </row>
    <row r="14" spans="1:18" x14ac:dyDescent="0.2">
      <c r="A14" s="3" t="s">
        <v>13</v>
      </c>
      <c r="B14" s="3"/>
      <c r="C14" s="3"/>
      <c r="D14" s="3"/>
      <c r="E14" s="3"/>
      <c r="F14" s="3">
        <v>17</v>
      </c>
      <c r="G14" s="3">
        <v>5</v>
      </c>
      <c r="H14" s="3">
        <v>2</v>
      </c>
      <c r="I14" s="3">
        <v>4</v>
      </c>
      <c r="J14" s="3">
        <v>4</v>
      </c>
      <c r="K14" s="3">
        <v>2</v>
      </c>
      <c r="L14" s="3"/>
      <c r="M14" s="3"/>
      <c r="N14" s="3">
        <v>1</v>
      </c>
      <c r="O14" s="3">
        <v>1</v>
      </c>
      <c r="P14" s="3"/>
      <c r="Q14" s="3"/>
      <c r="R14" s="2">
        <f t="shared" si="0"/>
        <v>36</v>
      </c>
    </row>
    <row r="15" spans="1:18" x14ac:dyDescent="0.2">
      <c r="A15" s="3" t="s">
        <v>14</v>
      </c>
      <c r="B15" s="3"/>
      <c r="C15" s="3"/>
      <c r="D15" s="3"/>
      <c r="E15" s="3"/>
      <c r="F15" s="3"/>
      <c r="G15" s="3">
        <v>1</v>
      </c>
      <c r="H15" s="3"/>
      <c r="I15" s="3"/>
      <c r="J15" s="3"/>
      <c r="K15" s="3"/>
      <c r="L15" s="3"/>
      <c r="M15" s="3"/>
      <c r="N15" s="3">
        <v>1</v>
      </c>
      <c r="O15" s="3"/>
      <c r="P15" s="3"/>
      <c r="Q15" s="3"/>
      <c r="R15" s="2">
        <f t="shared" si="0"/>
        <v>2</v>
      </c>
    </row>
    <row r="16" spans="1:18" x14ac:dyDescent="0.2">
      <c r="A16" s="3" t="s">
        <v>15</v>
      </c>
      <c r="B16" s="3"/>
      <c r="C16" s="3"/>
      <c r="D16" s="3"/>
      <c r="E16" s="3"/>
      <c r="F16" s="3">
        <v>14</v>
      </c>
      <c r="G16" s="3">
        <v>4</v>
      </c>
      <c r="H16" s="3">
        <v>2</v>
      </c>
      <c r="I16" s="3">
        <v>2</v>
      </c>
      <c r="J16" s="3">
        <v>0</v>
      </c>
      <c r="K16" s="3">
        <v>2</v>
      </c>
      <c r="L16" s="3"/>
      <c r="M16" s="3"/>
      <c r="N16" s="3">
        <v>1</v>
      </c>
      <c r="O16" s="3"/>
      <c r="P16" s="3"/>
      <c r="Q16" s="3"/>
      <c r="R16" s="2">
        <f t="shared" si="0"/>
        <v>25</v>
      </c>
    </row>
    <row r="17" spans="1:19" x14ac:dyDescent="0.2">
      <c r="A17" s="3" t="s">
        <v>16</v>
      </c>
      <c r="B17" s="3"/>
      <c r="C17" s="3">
        <v>2</v>
      </c>
      <c r="D17" s="3">
        <v>1</v>
      </c>
      <c r="E17" s="3">
        <v>3</v>
      </c>
      <c r="F17" s="3">
        <v>6</v>
      </c>
      <c r="G17" s="3">
        <v>5</v>
      </c>
      <c r="H17" s="3">
        <v>1</v>
      </c>
      <c r="I17" s="3">
        <v>2</v>
      </c>
      <c r="J17" s="3">
        <v>3</v>
      </c>
      <c r="K17" s="3"/>
      <c r="L17" s="3">
        <v>2</v>
      </c>
      <c r="M17" s="3"/>
      <c r="N17" s="3"/>
      <c r="O17" s="3"/>
      <c r="P17" s="3"/>
      <c r="Q17" s="3"/>
      <c r="R17" s="4">
        <f t="shared" si="0"/>
        <v>25</v>
      </c>
    </row>
    <row r="18" spans="1:19" s="26" customFormat="1" x14ac:dyDescent="0.2">
      <c r="A18" s="24" t="s">
        <v>17</v>
      </c>
      <c r="B18" s="24"/>
      <c r="C18" s="24"/>
      <c r="D18" s="24"/>
      <c r="E18" s="24"/>
      <c r="F18" s="24">
        <v>5</v>
      </c>
      <c r="G18" s="24"/>
      <c r="H18" s="24"/>
      <c r="I18" s="24"/>
      <c r="J18" s="24">
        <v>4</v>
      </c>
      <c r="K18" s="24"/>
      <c r="L18" s="24"/>
      <c r="M18" s="24"/>
      <c r="N18" s="24"/>
      <c r="O18" s="24"/>
      <c r="P18" s="24"/>
      <c r="Q18" s="24"/>
      <c r="R18" s="26">
        <f t="shared" si="0"/>
        <v>9</v>
      </c>
    </row>
    <row r="19" spans="1:19" s="26" customFormat="1" x14ac:dyDescent="0.2">
      <c r="A19" s="24" t="s">
        <v>18</v>
      </c>
      <c r="B19" s="24"/>
      <c r="C19" s="24">
        <v>2</v>
      </c>
      <c r="D19" s="24">
        <v>3</v>
      </c>
      <c r="E19" s="24">
        <v>21</v>
      </c>
      <c r="F19" s="24">
        <v>33</v>
      </c>
      <c r="G19" s="24">
        <v>1</v>
      </c>
      <c r="H19" s="24">
        <v>2</v>
      </c>
      <c r="I19" s="24">
        <v>4</v>
      </c>
      <c r="J19" s="24">
        <v>4</v>
      </c>
      <c r="K19" s="24">
        <v>10</v>
      </c>
      <c r="L19" s="24">
        <v>9</v>
      </c>
      <c r="M19" s="24">
        <v>2</v>
      </c>
      <c r="N19" s="24">
        <v>2</v>
      </c>
      <c r="O19" s="24">
        <v>3</v>
      </c>
      <c r="P19" s="24">
        <v>2</v>
      </c>
      <c r="Q19" s="24">
        <v>1</v>
      </c>
      <c r="R19" s="25">
        <f t="shared" si="0"/>
        <v>99</v>
      </c>
    </row>
    <row r="20" spans="1:19" x14ac:dyDescent="0.2">
      <c r="Q20" s="3"/>
    </row>
    <row r="21" spans="1:19" x14ac:dyDescent="0.2">
      <c r="Q21" s="3"/>
    </row>
    <row r="22" spans="1:19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9" ht="15" x14ac:dyDescent="0.25">
      <c r="A23" s="1" t="s">
        <v>19</v>
      </c>
      <c r="B23" s="1">
        <v>2</v>
      </c>
      <c r="C23" s="1">
        <v>9</v>
      </c>
      <c r="D23" s="1">
        <v>8</v>
      </c>
      <c r="E23" s="1">
        <v>34</v>
      </c>
      <c r="F23" s="1">
        <v>198</v>
      </c>
      <c r="G23" s="1">
        <v>91</v>
      </c>
      <c r="H23" s="1">
        <v>33</v>
      </c>
      <c r="I23" s="1">
        <v>68</v>
      </c>
      <c r="J23" s="1">
        <v>84</v>
      </c>
      <c r="K23" s="1">
        <v>33</v>
      </c>
      <c r="L23" s="1">
        <v>20</v>
      </c>
      <c r="M23" s="1">
        <v>12</v>
      </c>
      <c r="N23" s="1">
        <v>23</v>
      </c>
      <c r="O23" s="1">
        <v>10</v>
      </c>
      <c r="P23" s="1">
        <v>2</v>
      </c>
      <c r="Q23" s="1">
        <v>1</v>
      </c>
      <c r="R23">
        <f>SUM(R2,R12,R13)</f>
        <v>458</v>
      </c>
      <c r="S23">
        <f>SUM(R2,R12,R13,R19)</f>
        <v>557</v>
      </c>
    </row>
    <row r="24" spans="1:19" ht="15" x14ac:dyDescent="0.25">
      <c r="R24">
        <f>R23+42+29</f>
        <v>529</v>
      </c>
      <c r="S2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531A-D0DB-409A-A322-C99178BBF072}">
  <dimension ref="A1:S33"/>
  <sheetViews>
    <sheetView workbookViewId="0">
      <selection activeCell="Q33" sqref="Q33"/>
    </sheetView>
  </sheetViews>
  <sheetFormatPr defaultColWidth="11.42578125" defaultRowHeight="12" x14ac:dyDescent="0.2"/>
  <cols>
    <col min="1" max="1" width="11.42578125" style="13"/>
    <col min="2" max="2" width="18.85546875" style="2" customWidth="1"/>
    <col min="3" max="16" width="8" style="2" customWidth="1"/>
    <col min="17" max="17" width="13" style="2" customWidth="1"/>
    <col min="18" max="19" width="8.28515625" style="2" customWidth="1"/>
    <col min="20" max="16384" width="11.42578125" style="2"/>
  </cols>
  <sheetData>
    <row r="1" spans="1:19" s="8" customFormat="1" ht="24" x14ac:dyDescent="0.2">
      <c r="A1" s="13"/>
      <c r="B1" s="7" t="s">
        <v>20</v>
      </c>
      <c r="C1" s="7">
        <v>4</v>
      </c>
      <c r="D1" s="7">
        <v>5</v>
      </c>
      <c r="E1" s="7">
        <v>6</v>
      </c>
      <c r="F1" s="7">
        <v>7</v>
      </c>
      <c r="G1" s="7">
        <v>8</v>
      </c>
      <c r="H1" s="7">
        <v>9</v>
      </c>
      <c r="I1" s="7">
        <v>10</v>
      </c>
      <c r="J1" s="7">
        <v>11</v>
      </c>
      <c r="K1" s="7">
        <v>12</v>
      </c>
      <c r="L1" s="7">
        <v>13</v>
      </c>
      <c r="M1" s="7">
        <v>14</v>
      </c>
      <c r="N1" s="7">
        <v>15</v>
      </c>
      <c r="O1" s="7">
        <v>16</v>
      </c>
      <c r="P1" s="7">
        <v>17</v>
      </c>
      <c r="Q1" s="7">
        <v>19</v>
      </c>
      <c r="R1" s="7">
        <v>20</v>
      </c>
      <c r="S1" s="7" t="s">
        <v>0</v>
      </c>
    </row>
    <row r="2" spans="1:19" x14ac:dyDescent="0.2">
      <c r="B2" s="3" t="s">
        <v>1</v>
      </c>
      <c r="C2" s="9">
        <f>SUM(C3,C8,C9)</f>
        <v>1</v>
      </c>
      <c r="D2" s="9">
        <f>SUM(D3,D8,D9)</f>
        <v>2</v>
      </c>
      <c r="E2" s="9">
        <f t="shared" ref="E2:S2" si="0">SUM(E3,E8,E9)</f>
        <v>1</v>
      </c>
      <c r="F2" s="9">
        <f t="shared" si="0"/>
        <v>1</v>
      </c>
      <c r="G2" s="9">
        <f t="shared" si="0"/>
        <v>70</v>
      </c>
      <c r="H2" s="9">
        <f t="shared" si="0"/>
        <v>55</v>
      </c>
      <c r="I2" s="9">
        <f t="shared" si="0"/>
        <v>13</v>
      </c>
      <c r="J2" s="9">
        <f t="shared" si="0"/>
        <v>39</v>
      </c>
      <c r="K2" s="9">
        <f t="shared" si="0"/>
        <v>43</v>
      </c>
      <c r="L2" s="9">
        <f t="shared" si="0"/>
        <v>13</v>
      </c>
      <c r="M2" s="9">
        <f t="shared" si="0"/>
        <v>8</v>
      </c>
      <c r="N2" s="9">
        <f t="shared" si="0"/>
        <v>10</v>
      </c>
      <c r="O2" s="9">
        <f t="shared" si="0"/>
        <v>16</v>
      </c>
      <c r="P2" s="9">
        <f t="shared" si="0"/>
        <v>6</v>
      </c>
      <c r="Q2" s="9">
        <f t="shared" si="0"/>
        <v>0</v>
      </c>
      <c r="R2" s="9">
        <f t="shared" si="0"/>
        <v>0</v>
      </c>
      <c r="S2" s="9">
        <f t="shared" si="0"/>
        <v>0</v>
      </c>
    </row>
    <row r="3" spans="1:19" x14ac:dyDescent="0.2">
      <c r="B3" s="3" t="s">
        <v>2</v>
      </c>
      <c r="C3" s="9">
        <f>SUM(C4:C7)</f>
        <v>0</v>
      </c>
      <c r="D3" s="9">
        <f t="shared" ref="D3:S3" si="1">SUM(D4:D7)</f>
        <v>0</v>
      </c>
      <c r="E3" s="9">
        <f>SUM(E4:E7)</f>
        <v>0</v>
      </c>
      <c r="F3" s="9">
        <f t="shared" si="1"/>
        <v>0</v>
      </c>
      <c r="G3" s="9">
        <f t="shared" si="1"/>
        <v>48</v>
      </c>
      <c r="H3" s="9">
        <f t="shared" si="1"/>
        <v>46</v>
      </c>
      <c r="I3" s="9">
        <f>SUM(I4:I7)</f>
        <v>7</v>
      </c>
      <c r="J3" s="9">
        <f t="shared" si="1"/>
        <v>32</v>
      </c>
      <c r="K3" s="9">
        <f t="shared" si="1"/>
        <v>37</v>
      </c>
      <c r="L3" s="9">
        <f t="shared" si="1"/>
        <v>10</v>
      </c>
      <c r="M3" s="9">
        <f t="shared" si="1"/>
        <v>7</v>
      </c>
      <c r="N3" s="9">
        <f t="shared" si="1"/>
        <v>10</v>
      </c>
      <c r="O3" s="9">
        <f t="shared" si="1"/>
        <v>15</v>
      </c>
      <c r="P3" s="9">
        <f t="shared" si="1"/>
        <v>6</v>
      </c>
      <c r="Q3" s="9">
        <f t="shared" si="1"/>
        <v>0</v>
      </c>
      <c r="R3" s="9">
        <f t="shared" si="1"/>
        <v>0</v>
      </c>
      <c r="S3" s="9">
        <f t="shared" si="1"/>
        <v>0</v>
      </c>
    </row>
    <row r="4" spans="1:19" x14ac:dyDescent="0.2">
      <c r="B4" s="3" t="s">
        <v>3</v>
      </c>
      <c r="C4" s="9"/>
      <c r="D4" s="9"/>
      <c r="E4" s="9"/>
      <c r="F4" s="9"/>
      <c r="G4" s="9">
        <v>16</v>
      </c>
      <c r="H4" s="9">
        <v>28</v>
      </c>
      <c r="I4" s="9">
        <v>4</v>
      </c>
      <c r="J4" s="9">
        <v>18</v>
      </c>
      <c r="K4" s="9">
        <v>25</v>
      </c>
      <c r="L4" s="9">
        <v>6</v>
      </c>
      <c r="M4" s="9">
        <v>4</v>
      </c>
      <c r="N4" s="9">
        <v>8</v>
      </c>
      <c r="O4" s="9">
        <v>10</v>
      </c>
      <c r="P4" s="9">
        <v>3</v>
      </c>
      <c r="Q4" s="9"/>
      <c r="R4" s="3"/>
    </row>
    <row r="5" spans="1:19" x14ac:dyDescent="0.2">
      <c r="B5" s="3" t="s">
        <v>4</v>
      </c>
      <c r="C5" s="9"/>
      <c r="D5" s="9"/>
      <c r="E5" s="9"/>
      <c r="F5" s="9"/>
      <c r="G5" s="9">
        <v>1</v>
      </c>
      <c r="H5" s="9">
        <v>11</v>
      </c>
      <c r="I5" s="9">
        <v>2</v>
      </c>
      <c r="J5" s="9">
        <v>8</v>
      </c>
      <c r="K5" s="9">
        <v>10</v>
      </c>
      <c r="L5" s="9">
        <v>1</v>
      </c>
      <c r="M5" s="9">
        <v>2</v>
      </c>
      <c r="N5" s="9">
        <v>2</v>
      </c>
      <c r="O5" s="9">
        <v>3</v>
      </c>
      <c r="P5" s="9">
        <v>2</v>
      </c>
      <c r="Q5" s="9"/>
      <c r="R5" s="3"/>
    </row>
    <row r="6" spans="1:19" x14ac:dyDescent="0.2">
      <c r="B6" s="3" t="s">
        <v>5</v>
      </c>
      <c r="C6" s="9"/>
      <c r="D6" s="9"/>
      <c r="E6" s="9"/>
      <c r="F6" s="9"/>
      <c r="G6" s="9">
        <v>15</v>
      </c>
      <c r="H6" s="9">
        <v>5</v>
      </c>
      <c r="I6" s="9">
        <v>1</v>
      </c>
      <c r="J6" s="9">
        <v>5</v>
      </c>
      <c r="K6" s="9">
        <v>2</v>
      </c>
      <c r="L6" s="9">
        <v>3</v>
      </c>
      <c r="M6" s="9"/>
      <c r="N6" s="9"/>
      <c r="O6" s="9">
        <v>1</v>
      </c>
      <c r="P6" s="9">
        <v>1</v>
      </c>
      <c r="Q6" s="9"/>
      <c r="R6" s="3"/>
    </row>
    <row r="7" spans="1:19" s="6" customFormat="1" ht="24" x14ac:dyDescent="0.2">
      <c r="A7" s="15"/>
      <c r="B7" s="5" t="s">
        <v>6</v>
      </c>
      <c r="C7" s="10"/>
      <c r="D7" s="10"/>
      <c r="E7" s="10"/>
      <c r="F7" s="10"/>
      <c r="G7" s="10">
        <v>16</v>
      </c>
      <c r="H7" s="10">
        <v>2</v>
      </c>
      <c r="I7" s="10"/>
      <c r="J7" s="10">
        <v>1</v>
      </c>
      <c r="K7" s="10"/>
      <c r="L7" s="10"/>
      <c r="M7" s="10">
        <v>1</v>
      </c>
      <c r="N7" s="10"/>
      <c r="O7" s="10">
        <v>1</v>
      </c>
      <c r="P7" s="10"/>
      <c r="Q7" s="10"/>
      <c r="R7" s="5"/>
    </row>
    <row r="8" spans="1:19" x14ac:dyDescent="0.2">
      <c r="B8" s="3" t="s">
        <v>8</v>
      </c>
      <c r="C8" s="9"/>
      <c r="D8" s="9"/>
      <c r="E8" s="9"/>
      <c r="F8" s="9"/>
      <c r="G8" s="9">
        <v>19</v>
      </c>
      <c r="H8" s="9">
        <v>6</v>
      </c>
      <c r="I8" s="9">
        <v>4</v>
      </c>
      <c r="J8" s="9">
        <v>5</v>
      </c>
      <c r="K8" s="9">
        <v>3</v>
      </c>
      <c r="L8" s="9">
        <v>3</v>
      </c>
      <c r="M8" s="9">
        <v>1</v>
      </c>
      <c r="N8" s="9"/>
      <c r="O8" s="9">
        <v>1</v>
      </c>
      <c r="P8" s="9"/>
      <c r="Q8" s="9"/>
      <c r="R8" s="3"/>
    </row>
    <row r="9" spans="1:19" s="6" customFormat="1" x14ac:dyDescent="0.2">
      <c r="A9" s="15"/>
      <c r="B9" s="5" t="s">
        <v>9</v>
      </c>
      <c r="C9" s="10">
        <v>1</v>
      </c>
      <c r="D9" s="10">
        <v>2</v>
      </c>
      <c r="E9" s="10">
        <v>1</v>
      </c>
      <c r="F9" s="10">
        <v>1</v>
      </c>
      <c r="G9" s="10">
        <v>3</v>
      </c>
      <c r="H9" s="10">
        <v>3</v>
      </c>
      <c r="I9" s="10">
        <v>2</v>
      </c>
      <c r="J9" s="10">
        <v>2</v>
      </c>
      <c r="K9" s="10">
        <v>3</v>
      </c>
      <c r="L9" s="10"/>
      <c r="M9" s="10"/>
      <c r="N9" s="10"/>
      <c r="O9" s="10"/>
      <c r="P9" s="10"/>
      <c r="Q9" s="10"/>
      <c r="R9" s="5"/>
    </row>
    <row r="10" spans="1:19" x14ac:dyDescent="0.2">
      <c r="B10" s="3" t="s">
        <v>11</v>
      </c>
      <c r="C10" s="9">
        <v>1</v>
      </c>
      <c r="D10" s="9">
        <v>2</v>
      </c>
      <c r="E10" s="9">
        <v>1</v>
      </c>
      <c r="F10" s="9">
        <v>1</v>
      </c>
      <c r="G10" s="9">
        <v>22</v>
      </c>
      <c r="H10" s="9">
        <v>8</v>
      </c>
      <c r="I10" s="9">
        <v>3</v>
      </c>
      <c r="J10" s="9">
        <v>4</v>
      </c>
      <c r="K10" s="9">
        <v>10</v>
      </c>
      <c r="L10" s="9">
        <v>3</v>
      </c>
      <c r="M10" s="9"/>
      <c r="N10" s="9"/>
      <c r="O10" s="9">
        <v>1</v>
      </c>
      <c r="P10" s="9"/>
      <c r="Q10" s="9"/>
      <c r="R10" s="3"/>
    </row>
    <row r="11" spans="1:19" x14ac:dyDescent="0.2">
      <c r="B11" s="3" t="s">
        <v>12</v>
      </c>
      <c r="C11" s="9">
        <f>SUM(C12:C15)</f>
        <v>0</v>
      </c>
      <c r="D11" s="9">
        <f t="shared" ref="D11:S11" si="2">SUM(D12:D15)</f>
        <v>2</v>
      </c>
      <c r="E11" s="9">
        <f t="shared" si="2"/>
        <v>1</v>
      </c>
      <c r="F11" s="9">
        <f t="shared" si="2"/>
        <v>3</v>
      </c>
      <c r="G11" s="9">
        <f t="shared" si="2"/>
        <v>37</v>
      </c>
      <c r="H11" s="9">
        <f t="shared" si="2"/>
        <v>15</v>
      </c>
      <c r="I11" s="9">
        <f t="shared" si="2"/>
        <v>5</v>
      </c>
      <c r="J11" s="9">
        <f t="shared" si="2"/>
        <v>8</v>
      </c>
      <c r="K11" s="9">
        <f t="shared" si="2"/>
        <v>7</v>
      </c>
      <c r="L11" s="9">
        <f t="shared" si="2"/>
        <v>4</v>
      </c>
      <c r="M11" s="9">
        <f t="shared" si="2"/>
        <v>2</v>
      </c>
      <c r="N11" s="9">
        <f t="shared" si="2"/>
        <v>0</v>
      </c>
      <c r="O11" s="9">
        <f t="shared" si="2"/>
        <v>3</v>
      </c>
      <c r="P11" s="9">
        <f t="shared" si="2"/>
        <v>1</v>
      </c>
      <c r="Q11" s="9">
        <f t="shared" si="2"/>
        <v>0</v>
      </c>
      <c r="R11" s="9">
        <f t="shared" si="2"/>
        <v>0</v>
      </c>
      <c r="S11" s="9">
        <f t="shared" si="2"/>
        <v>0</v>
      </c>
    </row>
    <row r="12" spans="1:19" x14ac:dyDescent="0.2">
      <c r="B12" s="3" t="s">
        <v>13</v>
      </c>
      <c r="C12" s="9"/>
      <c r="D12" s="9"/>
      <c r="E12" s="9"/>
      <c r="F12" s="9"/>
      <c r="G12" s="9">
        <v>17</v>
      </c>
      <c r="H12" s="9">
        <v>5</v>
      </c>
      <c r="I12" s="9">
        <v>2</v>
      </c>
      <c r="J12" s="9">
        <v>4</v>
      </c>
      <c r="K12" s="9">
        <v>4</v>
      </c>
      <c r="L12" s="9">
        <v>2</v>
      </c>
      <c r="M12" s="9"/>
      <c r="N12" s="9"/>
      <c r="O12" s="9">
        <v>1</v>
      </c>
      <c r="P12" s="9">
        <v>1</v>
      </c>
      <c r="Q12" s="9"/>
      <c r="R12" s="3"/>
    </row>
    <row r="13" spans="1:19" x14ac:dyDescent="0.2">
      <c r="B13" s="3" t="s">
        <v>14</v>
      </c>
      <c r="C13" s="9"/>
      <c r="D13" s="9"/>
      <c r="E13" s="9"/>
      <c r="F13" s="9"/>
      <c r="G13" s="9"/>
      <c r="H13" s="9">
        <v>1</v>
      </c>
      <c r="I13" s="9"/>
      <c r="J13" s="9"/>
      <c r="K13" s="9"/>
      <c r="L13" s="9"/>
      <c r="M13" s="9"/>
      <c r="N13" s="9"/>
      <c r="O13" s="9">
        <v>1</v>
      </c>
      <c r="P13" s="9"/>
      <c r="Q13" s="9"/>
      <c r="R13" s="3"/>
    </row>
    <row r="14" spans="1:19" x14ac:dyDescent="0.2">
      <c r="B14" s="3" t="s">
        <v>15</v>
      </c>
      <c r="C14" s="9"/>
      <c r="D14" s="9"/>
      <c r="E14" s="9"/>
      <c r="F14" s="9"/>
      <c r="G14" s="9">
        <v>14</v>
      </c>
      <c r="H14" s="9">
        <v>4</v>
      </c>
      <c r="I14" s="9">
        <v>2</v>
      </c>
      <c r="J14" s="9">
        <v>2</v>
      </c>
      <c r="K14" s="9">
        <v>0</v>
      </c>
      <c r="L14" s="9">
        <v>2</v>
      </c>
      <c r="M14" s="9"/>
      <c r="N14" s="9"/>
      <c r="O14" s="9">
        <v>1</v>
      </c>
      <c r="P14" s="9"/>
      <c r="Q14" s="9"/>
      <c r="R14" s="3"/>
    </row>
    <row r="15" spans="1:19" s="6" customFormat="1" x14ac:dyDescent="0.2">
      <c r="A15" s="15"/>
      <c r="B15" s="5" t="s">
        <v>16</v>
      </c>
      <c r="C15" s="10"/>
      <c r="D15" s="10">
        <v>2</v>
      </c>
      <c r="E15" s="10">
        <v>1</v>
      </c>
      <c r="F15" s="10">
        <v>3</v>
      </c>
      <c r="G15" s="10">
        <v>6</v>
      </c>
      <c r="H15" s="10">
        <v>5</v>
      </c>
      <c r="I15" s="10">
        <v>1</v>
      </c>
      <c r="J15" s="10">
        <v>2</v>
      </c>
      <c r="K15" s="10">
        <v>3</v>
      </c>
      <c r="L15" s="10"/>
      <c r="M15" s="10">
        <v>2</v>
      </c>
      <c r="N15" s="10"/>
      <c r="O15" s="10"/>
      <c r="P15" s="10"/>
      <c r="Q15" s="10"/>
      <c r="R15" s="5"/>
    </row>
    <row r="16" spans="1:19" x14ac:dyDescent="0.2">
      <c r="B16" s="3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3"/>
    </row>
    <row r="17" spans="2:18" x14ac:dyDescent="0.2">
      <c r="B17" s="1" t="s">
        <v>19</v>
      </c>
      <c r="C17" s="11">
        <f>C2+C10+C11</f>
        <v>2</v>
      </c>
      <c r="D17" s="11">
        <f t="shared" ref="D17:R17" si="3">D2+D10+D11</f>
        <v>6</v>
      </c>
      <c r="E17" s="11">
        <f t="shared" si="3"/>
        <v>3</v>
      </c>
      <c r="F17" s="11">
        <f t="shared" si="3"/>
        <v>5</v>
      </c>
      <c r="G17" s="11">
        <f t="shared" si="3"/>
        <v>129</v>
      </c>
      <c r="H17" s="11">
        <f>H2+H10+H11</f>
        <v>78</v>
      </c>
      <c r="I17" s="11">
        <f t="shared" si="3"/>
        <v>21</v>
      </c>
      <c r="J17" s="11">
        <f t="shared" si="3"/>
        <v>51</v>
      </c>
      <c r="K17" s="11">
        <f t="shared" si="3"/>
        <v>60</v>
      </c>
      <c r="L17" s="11">
        <f t="shared" si="3"/>
        <v>20</v>
      </c>
      <c r="M17" s="11">
        <f t="shared" si="3"/>
        <v>10</v>
      </c>
      <c r="N17" s="11">
        <f t="shared" si="3"/>
        <v>10</v>
      </c>
      <c r="O17" s="11">
        <f t="shared" si="3"/>
        <v>20</v>
      </c>
      <c r="P17" s="11">
        <f t="shared" si="3"/>
        <v>7</v>
      </c>
      <c r="Q17" s="11">
        <f t="shared" si="3"/>
        <v>0</v>
      </c>
      <c r="R17" s="11">
        <f t="shared" si="3"/>
        <v>0</v>
      </c>
    </row>
    <row r="21" spans="2:18" x14ac:dyDescent="0.2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2:18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2:18" s="13" customFormat="1" ht="28.5" customHeight="1" x14ac:dyDescent="0.2">
      <c r="B23" s="16" t="s">
        <v>20</v>
      </c>
      <c r="C23" s="17">
        <v>4</v>
      </c>
      <c r="D23" s="17">
        <v>5</v>
      </c>
      <c r="E23" s="17">
        <v>6</v>
      </c>
      <c r="F23" s="17">
        <v>7</v>
      </c>
      <c r="G23" s="17">
        <v>8</v>
      </c>
      <c r="H23" s="17">
        <v>9</v>
      </c>
      <c r="I23" s="17">
        <v>10</v>
      </c>
      <c r="J23" s="17">
        <v>11</v>
      </c>
      <c r="K23" s="17">
        <v>12</v>
      </c>
      <c r="L23" s="17">
        <v>13</v>
      </c>
      <c r="M23" s="17">
        <v>14</v>
      </c>
      <c r="N23" s="17">
        <v>15</v>
      </c>
      <c r="O23" s="17">
        <v>16</v>
      </c>
      <c r="P23" s="17">
        <v>17</v>
      </c>
      <c r="Q23" s="18" t="s">
        <v>21</v>
      </c>
      <c r="R23" s="14"/>
    </row>
    <row r="24" spans="2:18" ht="28.5" customHeight="1" x14ac:dyDescent="0.2">
      <c r="B24" s="19" t="s">
        <v>1</v>
      </c>
      <c r="C24" s="20">
        <v>1</v>
      </c>
      <c r="D24" s="20">
        <v>2</v>
      </c>
      <c r="E24" s="20">
        <v>1</v>
      </c>
      <c r="F24" s="20">
        <v>1</v>
      </c>
      <c r="G24" s="20">
        <v>70</v>
      </c>
      <c r="H24" s="20">
        <v>55</v>
      </c>
      <c r="I24" s="20">
        <v>13</v>
      </c>
      <c r="J24" s="20">
        <v>39</v>
      </c>
      <c r="K24" s="20">
        <v>43</v>
      </c>
      <c r="L24" s="20">
        <v>13</v>
      </c>
      <c r="M24" s="20">
        <v>8</v>
      </c>
      <c r="N24" s="20">
        <v>10</v>
      </c>
      <c r="O24" s="20">
        <v>16</v>
      </c>
      <c r="P24" s="20">
        <v>6</v>
      </c>
      <c r="Q24" s="18">
        <f>SUM(C24:P24)</f>
        <v>278</v>
      </c>
      <c r="R24" s="12"/>
    </row>
    <row r="25" spans="2:18" ht="28.5" customHeight="1" x14ac:dyDescent="0.2">
      <c r="B25" s="19" t="s">
        <v>11</v>
      </c>
      <c r="C25" s="20">
        <v>1</v>
      </c>
      <c r="D25" s="20">
        <v>2</v>
      </c>
      <c r="E25" s="20">
        <v>1</v>
      </c>
      <c r="F25" s="20">
        <v>1</v>
      </c>
      <c r="G25" s="20">
        <v>22</v>
      </c>
      <c r="H25" s="20">
        <v>8</v>
      </c>
      <c r="I25" s="20">
        <v>3</v>
      </c>
      <c r="J25" s="20">
        <v>4</v>
      </c>
      <c r="K25" s="20">
        <v>10</v>
      </c>
      <c r="L25" s="20">
        <v>3</v>
      </c>
      <c r="M25" s="21"/>
      <c r="N25" s="21"/>
      <c r="O25" s="20">
        <v>1</v>
      </c>
      <c r="P25" s="21"/>
      <c r="Q25" s="22">
        <f t="shared" ref="Q25:Q26" si="4">SUM(C25:P25)</f>
        <v>56</v>
      </c>
      <c r="R25" s="12"/>
    </row>
    <row r="26" spans="2:18" ht="28.5" customHeight="1" x14ac:dyDescent="0.2">
      <c r="B26" s="19" t="s">
        <v>12</v>
      </c>
      <c r="C26" s="20"/>
      <c r="D26" s="20">
        <v>2</v>
      </c>
      <c r="E26" s="20">
        <v>1</v>
      </c>
      <c r="F26" s="20">
        <v>3</v>
      </c>
      <c r="G26" s="20">
        <v>37</v>
      </c>
      <c r="H26" s="20">
        <v>15</v>
      </c>
      <c r="I26" s="20">
        <v>5</v>
      </c>
      <c r="J26" s="20">
        <v>8</v>
      </c>
      <c r="K26" s="20">
        <v>7</v>
      </c>
      <c r="L26" s="20">
        <v>4</v>
      </c>
      <c r="M26" s="20">
        <v>2</v>
      </c>
      <c r="N26" s="21"/>
      <c r="O26" s="20">
        <v>3</v>
      </c>
      <c r="P26" s="20">
        <v>1</v>
      </c>
      <c r="Q26" s="23">
        <f t="shared" si="4"/>
        <v>88</v>
      </c>
      <c r="R26" s="12"/>
    </row>
    <row r="27" spans="2:18" s="13" customFormat="1" ht="28.5" customHeight="1" x14ac:dyDescent="0.2">
      <c r="B27" s="16" t="s">
        <v>21</v>
      </c>
      <c r="C27" s="17">
        <f>SUM(C24:C26)</f>
        <v>2</v>
      </c>
      <c r="D27" s="17">
        <f t="shared" ref="D27:P27" si="5">SUM(D24:D26)</f>
        <v>6</v>
      </c>
      <c r="E27" s="17">
        <f t="shared" si="5"/>
        <v>3</v>
      </c>
      <c r="F27" s="17">
        <f t="shared" si="5"/>
        <v>5</v>
      </c>
      <c r="G27" s="17">
        <f t="shared" si="5"/>
        <v>129</v>
      </c>
      <c r="H27" s="17">
        <f t="shared" si="5"/>
        <v>78</v>
      </c>
      <c r="I27" s="17">
        <f t="shared" si="5"/>
        <v>21</v>
      </c>
      <c r="J27" s="17">
        <f>SUM(J24:J26)</f>
        <v>51</v>
      </c>
      <c r="K27" s="17">
        <f t="shared" si="5"/>
        <v>60</v>
      </c>
      <c r="L27" s="17">
        <f t="shared" si="5"/>
        <v>20</v>
      </c>
      <c r="M27" s="17">
        <f t="shared" si="5"/>
        <v>10</v>
      </c>
      <c r="N27" s="17">
        <f t="shared" si="5"/>
        <v>10</v>
      </c>
      <c r="O27" s="17">
        <f t="shared" si="5"/>
        <v>20</v>
      </c>
      <c r="P27" s="17">
        <f t="shared" si="5"/>
        <v>7</v>
      </c>
      <c r="Q27" s="23">
        <f>SUM(C27:P27)</f>
        <v>422</v>
      </c>
    </row>
    <row r="28" spans="2:18" x14ac:dyDescent="0.2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2:18" x14ac:dyDescent="0.2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2:18" x14ac:dyDescent="0.2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3" spans="17:17" x14ac:dyDescent="0.2">
      <c r="Q33" s="2">
        <f>422 + 99+42+29</f>
        <v>592</v>
      </c>
    </row>
  </sheetData>
  <conditionalFormatting sqref="C24:P26">
    <cfRule type="colorScale" priority="4">
      <colorScale>
        <cfvo type="num" val="1"/>
        <cfvo type="max"/>
        <color rgb="FFFFEAD5"/>
        <color rgb="FFE86A24"/>
      </colorScale>
    </cfRule>
  </conditionalFormatting>
  <conditionalFormatting sqref="C27:P27">
    <cfRule type="colorScale" priority="2">
      <colorScale>
        <cfvo type="min"/>
        <cfvo type="percentile" val="50"/>
        <cfvo type="max"/>
        <color rgb="FFE8E8E8"/>
        <color theme="0" tint="-0.249977111117893"/>
        <color rgb="FF7D7D7D"/>
      </colorScale>
    </cfRule>
  </conditionalFormatting>
  <conditionalFormatting sqref="Q24:Q26">
    <cfRule type="colorScale" priority="1">
      <colorScale>
        <cfvo type="min"/>
        <cfvo type="percentile" val="50"/>
        <cfvo type="max"/>
        <color rgb="FFE8E8E8"/>
        <color theme="0" tint="-0.249977111117893"/>
        <color rgb="FF7D7D7D"/>
      </colorScale>
    </cfRule>
  </conditionalFormatting>
  <pageMargins left="0.7" right="0.7" top="0.75" bottom="0.75" header="0.3" footer="0.3"/>
  <pageSetup orientation="portrait" r:id="rId1"/>
  <ignoredErrors>
    <ignoredError sqref="C27:P2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F7E8CC199CA94681D69FE7BCDC59CD" ma:contentTypeVersion="1" ma:contentTypeDescription="Crée un document." ma:contentTypeScope="" ma:versionID="60d9c0d37e9bb8e6b4c0095e25ee25d8">
  <xsd:schema xmlns:xsd="http://www.w3.org/2001/XMLSchema" xmlns:xs="http://www.w3.org/2001/XMLSchema" xmlns:p="http://schemas.microsoft.com/office/2006/metadata/properties" xmlns:ns3="7d222fce-978c-4eef-82e8-bd395af672e2" targetNamespace="http://schemas.microsoft.com/office/2006/metadata/properties" ma:root="true" ma:fieldsID="8e18f95081f9d70bbf66d0aef207e6e3" ns3:_="">
    <xsd:import namespace="7d222fce-978c-4eef-82e8-bd395af672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22fce-978c-4eef-82e8-bd395af672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FC5D57-5A38-4330-8E19-07160B7C3DE6}">
  <ds:schemaRefs>
    <ds:schemaRef ds:uri="http://purl.org/dc/terms/"/>
    <ds:schemaRef ds:uri="7d222fce-978c-4eef-82e8-bd395af672e2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50B55FD-1BE3-4EF9-A31F-DC15A9958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22fce-978c-4eef-82e8-bd395af672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9448C3-6CA6-41D5-9EB7-F8204B28D1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N0</vt:lpstr>
      <vt:lpstr>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Minh Ngoc</dc:creator>
  <cp:lastModifiedBy>Vu Minh Ngoc</cp:lastModifiedBy>
  <dcterms:created xsi:type="dcterms:W3CDTF">2026-01-23T00:51:05Z</dcterms:created>
  <dcterms:modified xsi:type="dcterms:W3CDTF">2026-01-26T13:15:09Z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0x010100C7F7E8CC199CA94681D69FE7BCDC59CD</vt:lpwstr>
  </property>
</Properties>
</file>