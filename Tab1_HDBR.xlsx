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curie-my.sharepoint.com/personal/minh-ngoc_vu_curie_fr/Documents/"/>
    </mc:Choice>
  </mc:AlternateContent>
  <xr:revisionPtr revIDLastSave="147" documentId="8_{04F7DBC9-6B75-4C4A-B62D-D03853B308A8}" xr6:coauthVersionLast="47" xr6:coauthVersionMax="47" xr10:uidLastSave="{E4A60D3A-460B-45D5-B51A-215E081BB0EE}"/>
  <bookViews>
    <workbookView xWindow="-25845" yWindow="2520" windowWidth="25950" windowHeight="12855" activeTab="1" xr2:uid="{67031538-6329-4A71-B541-AA96840284FE}"/>
  </bookViews>
  <sheets>
    <sheet name="meta" sheetId="2" r:id="rId1"/>
    <sheet name="v0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2" l="1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R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B2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" i="1"/>
</calcChain>
</file>

<file path=xl/sharedStrings.xml><?xml version="1.0" encoding="utf-8"?>
<sst xmlns="http://schemas.openxmlformats.org/spreadsheetml/2006/main" count="75" uniqueCount="44">
  <si>
    <t>Stage (post conception week)</t>
  </si>
  <si>
    <t>Brain</t>
  </si>
  <si>
    <t>  Forebrain</t>
  </si>
  <si>
    <t>    Telencephalon</t>
  </si>
  <si>
    <t>      Cortex</t>
  </si>
  <si>
    <t>      Temporal lobe</t>
  </si>
  <si>
    <t>      Basal ganglia</t>
  </si>
  <si>
    <t>      Whole telencephalon</t>
  </si>
  <si>
    <t>      Telencephalon fragments</t>
  </si>
  <si>
    <t>    Diencephalon</t>
  </si>
  <si>
    <t>    Whole forebrain</t>
  </si>
  <si>
    <t>    Forebrain fragments</t>
  </si>
  <si>
    <t>  Midbrain</t>
  </si>
  <si>
    <t>  Hindbrain</t>
  </si>
  <si>
    <t>    Cerebellum</t>
  </si>
  <si>
    <t>    Pons</t>
  </si>
  <si>
    <t>    Medulla oblongata</t>
  </si>
  <si>
    <t>    Whole hindbrain</t>
  </si>
  <si>
    <t>    Hindbrain fragments</t>
  </si>
  <si>
    <t>  Brain fragments</t>
  </si>
  <si>
    <t>Spinal cord</t>
  </si>
  <si>
    <t>Choroid plexus</t>
  </si>
  <si>
    <t>All</t>
  </si>
  <si>
    <t>Any stage0</t>
  </si>
  <si>
    <t>Any (recalcul)</t>
  </si>
  <si>
    <t>All (recalcul)</t>
  </si>
  <si>
    <t>EBI metadata</t>
  </si>
  <si>
    <t>5+1</t>
  </si>
  <si>
    <t>16+1</t>
  </si>
  <si>
    <t>3+1</t>
  </si>
  <si>
    <t>3+3</t>
  </si>
  <si>
    <t>3+2</t>
  </si>
  <si>
    <t>2+1</t>
  </si>
  <si>
    <t>3--1</t>
  </si>
  <si>
    <t>2--1</t>
  </si>
  <si>
    <t>?</t>
  </si>
  <si>
    <t>(+1 dien and midbrain)</t>
  </si>
  <si>
    <t>19+7</t>
  </si>
  <si>
    <t>1+1</t>
  </si>
  <si>
    <t>4--3</t>
  </si>
  <si>
    <t>1--1</t>
  </si>
  <si>
    <t>(+3 hindbrain without cerebellum)</t>
  </si>
  <si>
    <t>6+3</t>
  </si>
  <si>
    <t>10+2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</si>
</sst>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b/>
      <sz val="12"/>
      <color theme="0"/>
      <name val="Arial"/>
      <family val="2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2" borderId="0" xfId="0" applyFill="1" applyBorder="1"/>
    <xf numFmtId="0" fontId="1" fillId="3" borderId="0" xfId="0" applyFont="1" applyFill="1" applyBorder="1" applyAlignment="1">
      <alignment vertical="center" wrapText="1"/>
    </xf>
    <xf numFmtId="0" fontId="0" fillId="3" borderId="0" xfId="0" applyFill="1" applyBorder="1"/>
    <xf numFmtId="0" fontId="1" fillId="4" borderId="0" xfId="0" applyFont="1" applyFill="1" applyBorder="1" applyAlignment="1">
      <alignment vertical="center" wrapText="1"/>
    </xf>
    <xf numFmtId="0" fontId="0" fillId="4" borderId="0" xfId="0" applyFill="1" applyBorder="1"/>
    <xf numFmtId="0" fontId="2" fillId="5" borderId="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0" fillId="5" borderId="0" xfId="0" applyFill="1" applyBorder="1"/>
    <xf numFmtId="0" fontId="4" fillId="6" borderId="0" xfId="0" applyFont="1" applyFill="1" applyBorder="1" applyAlignment="1">
      <alignment vertical="center" wrapText="1"/>
    </xf>
    <xf numFmtId="0" fontId="3" fillId="6" borderId="0" xfId="0" applyFont="1" applyFill="1" applyBorder="1"/>
    <xf numFmtId="0" fontId="4" fillId="6" borderId="0" xfId="0" applyFont="1" applyFill="1" applyBorder="1" applyAlignment="1">
      <alignment horizontal="right" vertical="center" wrapText="1"/>
    </xf>
    <xf numFmtId="0" fontId="5" fillId="4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vertical="center" wrapText="1"/>
    </xf>
    <xf numFmtId="0" fontId="11" fillId="5" borderId="0" xfId="0" applyFont="1" applyFill="1" applyBorder="1"/>
    <xf numFmtId="0" fontId="9" fillId="2" borderId="0" xfId="0" applyFont="1" applyFill="1" applyBorder="1" applyAlignment="1">
      <alignment vertical="center" wrapText="1"/>
    </xf>
    <xf numFmtId="0" fontId="11" fillId="2" borderId="0" xfId="0" applyFont="1" applyFill="1" applyBorder="1"/>
    <xf numFmtId="0" fontId="9" fillId="4" borderId="0" xfId="0" applyFont="1" applyFill="1" applyBorder="1" applyAlignment="1">
      <alignment vertical="center" wrapText="1"/>
    </xf>
    <xf numFmtId="0" fontId="10" fillId="4" borderId="0" xfId="0" applyFont="1" applyFill="1" applyBorder="1" applyAlignment="1">
      <alignment vertical="center"/>
    </xf>
    <xf numFmtId="0" fontId="11" fillId="4" borderId="0" xfId="0" applyFont="1" applyFill="1" applyBorder="1"/>
    <xf numFmtId="0" fontId="9" fillId="3" borderId="0" xfId="0" applyFont="1" applyFill="1" applyBorder="1" applyAlignment="1">
      <alignment vertical="center" wrapText="1"/>
    </xf>
    <xf numFmtId="0" fontId="10" fillId="3" borderId="0" xfId="0" applyFont="1" applyFill="1" applyBorder="1" applyAlignment="1">
      <alignment vertical="center"/>
    </xf>
    <xf numFmtId="0" fontId="11" fillId="3" borderId="0" xfId="0" applyFont="1" applyFill="1" applyBorder="1"/>
    <xf numFmtId="0" fontId="10" fillId="4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1" fillId="0" borderId="0" xfId="0" applyFont="1" applyBorder="1"/>
    <xf numFmtId="0" fontId="9" fillId="3" borderId="0" xfId="0" applyFont="1" applyFill="1" applyBorder="1" applyAlignment="1">
      <alignment horizontal="right" vertical="center" wrapText="1"/>
    </xf>
    <xf numFmtId="0" fontId="9" fillId="5" borderId="0" xfId="0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4" borderId="0" xfId="0" applyFont="1" applyFill="1" applyBorder="1" applyAlignment="1">
      <alignment horizontal="right" vertical="center" wrapText="1"/>
    </xf>
    <xf numFmtId="0" fontId="10" fillId="3" borderId="0" xfId="0" applyFont="1" applyFill="1" applyBorder="1" applyAlignment="1">
      <alignment horizontal="right" vertical="center" wrapText="1"/>
    </xf>
    <xf numFmtId="0" fontId="6" fillId="7" borderId="0" xfId="0" applyFont="1" applyFill="1" applyBorder="1" applyAlignment="1">
      <alignment vertical="center" wrapText="1"/>
    </xf>
    <xf numFmtId="0" fontId="6" fillId="7" borderId="0" xfId="0" applyFont="1" applyFill="1" applyBorder="1" applyAlignment="1">
      <alignment horizontal="right" vertical="center" wrapText="1"/>
    </xf>
    <xf numFmtId="0" fontId="7" fillId="7" borderId="0" xfId="0" applyFont="1" applyFill="1" applyBorder="1"/>
    <xf numFmtId="0" fontId="6" fillId="8" borderId="0" xfId="0" applyFont="1" applyFill="1" applyBorder="1" applyAlignment="1">
      <alignment vertical="center" wrapText="1"/>
    </xf>
    <xf numFmtId="0" fontId="7" fillId="8" borderId="0" xfId="0" applyFont="1" applyFill="1" applyBorder="1"/>
    <xf numFmtId="0" fontId="10" fillId="3" borderId="0" xfId="0" applyFont="1" applyFill="1" applyBorder="1" applyAlignment="1">
      <alignment vertical="center" wrapText="1"/>
    </xf>
    <xf numFmtId="0" fontId="12" fillId="3" borderId="0" xfId="0" applyFont="1" applyFill="1" applyBorder="1"/>
    <xf numFmtId="0" fontId="10" fillId="5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4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right" vertical="center"/>
    </xf>
    <xf numFmtId="0" fontId="12" fillId="4" borderId="0" xfId="0" applyFont="1" applyFill="1" applyBorder="1"/>
    <xf numFmtId="0" fontId="13" fillId="7" borderId="0" xfId="0" applyFont="1" applyFill="1" applyBorder="1" applyAlignment="1">
      <alignment vertical="center"/>
    </xf>
    <xf numFmtId="0" fontId="9" fillId="5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4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3" fillId="8" borderId="0" xfId="0" applyFont="1" applyFill="1" applyBorder="1" applyAlignment="1">
      <alignment vertical="center"/>
    </xf>
    <xf numFmtId="0" fontId="10" fillId="4" borderId="0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CBD4-13A1-4A03-BDFF-889544DFAD7A}">
  <dimension ref="A1:U25"/>
  <sheetViews>
    <sheetView topLeftCell="A8" workbookViewId="0">
      <selection activeCell="M15" sqref="M15"/>
    </sheetView>
  </sheetViews>
  <sheetFormatPr defaultColWidth="11.42578125" defaultRowHeight="15.75" x14ac:dyDescent="0.25"/>
  <cols>
    <col min="1" max="1" width="33.7109375" style="29" customWidth="1"/>
    <col min="2" max="17" width="8" style="29" customWidth="1"/>
    <col min="18" max="18" width="17.5703125" style="29" hidden="1" customWidth="1"/>
    <col min="19" max="19" width="21.85546875" style="29" customWidth="1"/>
    <col min="20" max="20" width="18.85546875" style="29" customWidth="1"/>
    <col min="21" max="21" width="17" style="52" customWidth="1"/>
    <col min="22" max="16384" width="11.42578125" style="29"/>
  </cols>
  <sheetData>
    <row r="1" spans="1:21" s="37" customFormat="1" ht="28.5" customHeight="1" x14ac:dyDescent="0.25">
      <c r="A1" s="35" t="s">
        <v>0</v>
      </c>
      <c r="B1" s="35">
        <v>4</v>
      </c>
      <c r="C1" s="35">
        <v>5</v>
      </c>
      <c r="D1" s="35">
        <v>6</v>
      </c>
      <c r="E1" s="35">
        <v>7</v>
      </c>
      <c r="F1" s="35">
        <v>8</v>
      </c>
      <c r="G1" s="35">
        <v>9</v>
      </c>
      <c r="H1" s="35">
        <v>10</v>
      </c>
      <c r="I1" s="35">
        <v>11</v>
      </c>
      <c r="J1" s="35">
        <v>12</v>
      </c>
      <c r="K1" s="35">
        <v>13</v>
      </c>
      <c r="L1" s="35">
        <v>14</v>
      </c>
      <c r="M1" s="35">
        <v>15</v>
      </c>
      <c r="N1" s="35">
        <v>16</v>
      </c>
      <c r="O1" s="35">
        <v>17</v>
      </c>
      <c r="P1" s="35">
        <v>19</v>
      </c>
      <c r="Q1" s="35">
        <v>20</v>
      </c>
      <c r="R1" s="36" t="s">
        <v>23</v>
      </c>
      <c r="S1" s="36" t="s">
        <v>24</v>
      </c>
      <c r="T1" s="36" t="s">
        <v>26</v>
      </c>
      <c r="U1" s="47"/>
    </row>
    <row r="2" spans="1:21" s="18" customFormat="1" ht="17.25" customHeight="1" x14ac:dyDescent="0.25">
      <c r="A2" s="16" t="s">
        <v>1</v>
      </c>
      <c r="B2" s="31">
        <v>2</v>
      </c>
      <c r="C2" s="31">
        <v>8</v>
      </c>
      <c r="D2" s="31">
        <v>6</v>
      </c>
      <c r="E2" s="31">
        <v>26</v>
      </c>
      <c r="F2" s="31">
        <v>171</v>
      </c>
      <c r="G2" s="31">
        <v>81</v>
      </c>
      <c r="H2" s="31">
        <v>27</v>
      </c>
      <c r="I2" s="31">
        <v>62</v>
      </c>
      <c r="J2" s="31">
        <v>77</v>
      </c>
      <c r="K2" s="31">
        <v>31</v>
      </c>
      <c r="L2" s="31">
        <v>19</v>
      </c>
      <c r="M2" s="31">
        <v>12</v>
      </c>
      <c r="N2" s="31">
        <v>22</v>
      </c>
      <c r="O2" s="31">
        <v>10</v>
      </c>
      <c r="P2" s="31">
        <v>2</v>
      </c>
      <c r="Q2" s="31">
        <v>1</v>
      </c>
      <c r="R2" s="17">
        <v>557</v>
      </c>
      <c r="S2" s="17">
        <v>557</v>
      </c>
      <c r="T2" s="42"/>
      <c r="U2" s="48"/>
    </row>
    <row r="3" spans="1:21" s="20" customFormat="1" ht="17.25" customHeight="1" x14ac:dyDescent="0.25">
      <c r="A3" s="19" t="s">
        <v>2</v>
      </c>
      <c r="B3" s="32">
        <v>1</v>
      </c>
      <c r="C3" s="32">
        <v>2</v>
      </c>
      <c r="D3" s="32">
        <v>1</v>
      </c>
      <c r="E3" s="32">
        <v>1</v>
      </c>
      <c r="F3" s="32">
        <v>74</v>
      </c>
      <c r="G3" s="32">
        <v>57</v>
      </c>
      <c r="H3" s="32">
        <v>17</v>
      </c>
      <c r="I3" s="32">
        <v>46</v>
      </c>
      <c r="J3" s="32">
        <v>52</v>
      </c>
      <c r="K3" s="32">
        <v>14</v>
      </c>
      <c r="L3" s="32">
        <v>8</v>
      </c>
      <c r="M3" s="32">
        <v>10</v>
      </c>
      <c r="N3" s="32">
        <v>16</v>
      </c>
      <c r="O3" s="32">
        <v>6</v>
      </c>
      <c r="P3" s="32"/>
      <c r="Q3" s="32"/>
      <c r="R3" s="19">
        <v>305</v>
      </c>
      <c r="S3" s="19">
        <v>305</v>
      </c>
      <c r="T3" s="43"/>
      <c r="U3" s="49"/>
    </row>
    <row r="4" spans="1:21" s="23" customFormat="1" ht="17.25" customHeight="1" x14ac:dyDescent="0.25">
      <c r="A4" s="21" t="s">
        <v>3</v>
      </c>
      <c r="B4" s="33"/>
      <c r="C4" s="33"/>
      <c r="D4" s="33"/>
      <c r="E4" s="33"/>
      <c r="F4" s="33">
        <v>48</v>
      </c>
      <c r="G4" s="33">
        <v>46</v>
      </c>
      <c r="H4" s="33">
        <v>11</v>
      </c>
      <c r="I4" s="33">
        <v>38</v>
      </c>
      <c r="J4" s="33">
        <v>45</v>
      </c>
      <c r="K4" s="33">
        <v>10</v>
      </c>
      <c r="L4" s="33">
        <v>7</v>
      </c>
      <c r="M4" s="33">
        <v>10</v>
      </c>
      <c r="N4" s="33">
        <v>15</v>
      </c>
      <c r="O4" s="33">
        <v>6</v>
      </c>
      <c r="P4" s="33"/>
      <c r="Q4" s="33"/>
      <c r="R4" s="21">
        <v>236</v>
      </c>
      <c r="S4" s="21">
        <v>236</v>
      </c>
      <c r="T4" s="44"/>
      <c r="U4" s="50"/>
    </row>
    <row r="5" spans="1:21" s="26" customFormat="1" ht="17.25" customHeight="1" x14ac:dyDescent="0.25">
      <c r="A5" s="24" t="s">
        <v>4</v>
      </c>
      <c r="B5" s="30"/>
      <c r="C5" s="30"/>
      <c r="D5" s="30"/>
      <c r="E5" s="30"/>
      <c r="F5" s="34" t="s">
        <v>28</v>
      </c>
      <c r="G5" s="30">
        <v>28</v>
      </c>
      <c r="H5" s="30">
        <v>4</v>
      </c>
      <c r="I5" s="30">
        <v>18</v>
      </c>
      <c r="J5" s="30">
        <v>25</v>
      </c>
      <c r="K5" s="30">
        <v>6</v>
      </c>
      <c r="L5" s="30">
        <v>4</v>
      </c>
      <c r="M5" s="30">
        <v>8</v>
      </c>
      <c r="N5" s="30">
        <v>10</v>
      </c>
      <c r="O5" s="34" t="s">
        <v>29</v>
      </c>
      <c r="P5" s="30"/>
      <c r="Q5" s="30"/>
      <c r="R5" s="24">
        <v>122</v>
      </c>
      <c r="S5" s="24">
        <v>122</v>
      </c>
      <c r="T5" s="45">
        <v>124</v>
      </c>
      <c r="U5" s="51"/>
    </row>
    <row r="6" spans="1:21" s="26" customFormat="1" ht="17.25" customHeight="1" x14ac:dyDescent="0.25">
      <c r="A6" s="24" t="s">
        <v>5</v>
      </c>
      <c r="B6" s="30"/>
      <c r="C6" s="30"/>
      <c r="D6" s="30"/>
      <c r="E6" s="30"/>
      <c r="F6" s="30">
        <v>1</v>
      </c>
      <c r="G6" s="30">
        <v>11</v>
      </c>
      <c r="H6" s="30">
        <v>2</v>
      </c>
      <c r="I6" s="30">
        <v>8</v>
      </c>
      <c r="J6" s="30">
        <v>10</v>
      </c>
      <c r="K6" s="30">
        <v>1</v>
      </c>
      <c r="L6" s="30">
        <v>2</v>
      </c>
      <c r="M6" s="34" t="s">
        <v>32</v>
      </c>
      <c r="N6" s="34" t="s">
        <v>33</v>
      </c>
      <c r="O6" s="34" t="s">
        <v>34</v>
      </c>
      <c r="P6" s="30"/>
      <c r="Q6" s="30"/>
      <c r="R6" s="24">
        <v>42</v>
      </c>
      <c r="S6" s="24">
        <v>42</v>
      </c>
      <c r="T6" s="45">
        <v>41</v>
      </c>
      <c r="U6" s="51"/>
    </row>
    <row r="7" spans="1:21" s="26" customFormat="1" ht="17.25" customHeight="1" x14ac:dyDescent="0.25">
      <c r="A7" s="24" t="s">
        <v>6</v>
      </c>
      <c r="B7" s="30"/>
      <c r="C7" s="30"/>
      <c r="D7" s="30"/>
      <c r="E7" s="30"/>
      <c r="F7" s="30">
        <v>15</v>
      </c>
      <c r="G7" s="34" t="s">
        <v>27</v>
      </c>
      <c r="H7" s="30">
        <v>1</v>
      </c>
      <c r="I7" s="30">
        <v>5</v>
      </c>
      <c r="J7" s="30">
        <v>2</v>
      </c>
      <c r="K7" s="30">
        <v>3</v>
      </c>
      <c r="L7" s="30"/>
      <c r="M7" s="30"/>
      <c r="N7" s="30">
        <v>1</v>
      </c>
      <c r="O7" s="30">
        <v>1</v>
      </c>
      <c r="P7" s="30"/>
      <c r="Q7" s="30"/>
      <c r="R7" s="24">
        <v>33</v>
      </c>
      <c r="S7" s="24">
        <v>33</v>
      </c>
      <c r="T7" s="45">
        <v>34</v>
      </c>
      <c r="U7" s="51"/>
    </row>
    <row r="8" spans="1:21" s="41" customFormat="1" ht="17.25" customHeight="1" x14ac:dyDescent="0.25">
      <c r="A8" s="40" t="s">
        <v>7</v>
      </c>
      <c r="B8" s="34"/>
      <c r="C8" s="34"/>
      <c r="D8" s="34"/>
      <c r="E8" s="34"/>
      <c r="F8" s="34">
        <v>16</v>
      </c>
      <c r="G8" s="34">
        <v>2</v>
      </c>
      <c r="H8" s="34"/>
      <c r="I8" s="34">
        <v>1</v>
      </c>
      <c r="J8" s="34"/>
      <c r="K8" s="34"/>
      <c r="L8" s="34">
        <v>1</v>
      </c>
      <c r="M8" s="34"/>
      <c r="N8" s="34">
        <v>1</v>
      </c>
      <c r="O8" s="34"/>
      <c r="P8" s="34"/>
      <c r="Q8" s="34"/>
      <c r="R8" s="40">
        <v>21</v>
      </c>
      <c r="S8" s="40">
        <v>21</v>
      </c>
      <c r="T8" s="45">
        <v>41</v>
      </c>
      <c r="U8" s="25"/>
    </row>
    <row r="9" spans="1:21" s="41" customFormat="1" ht="17.25" customHeight="1" x14ac:dyDescent="0.25">
      <c r="A9" s="40" t="s">
        <v>8</v>
      </c>
      <c r="B9" s="34"/>
      <c r="C9" s="34"/>
      <c r="D9" s="34"/>
      <c r="E9" s="34"/>
      <c r="F9" s="34"/>
      <c r="G9" s="34"/>
      <c r="H9" s="34">
        <v>4</v>
      </c>
      <c r="I9" s="34">
        <v>6</v>
      </c>
      <c r="J9" s="34">
        <v>8</v>
      </c>
      <c r="K9" s="34"/>
      <c r="L9" s="34"/>
      <c r="M9" s="34"/>
      <c r="N9" s="34"/>
      <c r="O9" s="34"/>
      <c r="P9" s="34"/>
      <c r="Q9" s="34"/>
      <c r="R9" s="40">
        <v>18</v>
      </c>
      <c r="S9" s="40">
        <v>18</v>
      </c>
      <c r="T9" s="45" t="s">
        <v>35</v>
      </c>
      <c r="U9" s="25"/>
    </row>
    <row r="10" spans="1:21" s="23" customFormat="1" ht="17.25" customHeight="1" x14ac:dyDescent="0.25">
      <c r="A10" s="21" t="s">
        <v>9</v>
      </c>
      <c r="B10" s="33"/>
      <c r="C10" s="33"/>
      <c r="D10" s="33"/>
      <c r="E10" s="33"/>
      <c r="F10" s="54" t="s">
        <v>37</v>
      </c>
      <c r="G10" s="33">
        <v>6</v>
      </c>
      <c r="H10" s="33">
        <v>4</v>
      </c>
      <c r="I10" s="33">
        <v>5</v>
      </c>
      <c r="J10" s="33">
        <v>3</v>
      </c>
      <c r="K10" s="54" t="s">
        <v>29</v>
      </c>
      <c r="L10" s="33">
        <v>1</v>
      </c>
      <c r="M10" s="33"/>
      <c r="N10" s="54" t="s">
        <v>38</v>
      </c>
      <c r="O10" s="33"/>
      <c r="P10" s="33"/>
      <c r="Q10" s="33"/>
      <c r="R10" s="21">
        <v>42</v>
      </c>
      <c r="S10" s="21">
        <v>42</v>
      </c>
      <c r="T10" s="44">
        <v>50</v>
      </c>
      <c r="U10" s="22" t="s">
        <v>36</v>
      </c>
    </row>
    <row r="11" spans="1:21" s="23" customFormat="1" ht="17.25" customHeight="1" x14ac:dyDescent="0.25">
      <c r="A11" s="21" t="s">
        <v>10</v>
      </c>
      <c r="B11" s="33">
        <v>1</v>
      </c>
      <c r="C11" s="33">
        <v>2</v>
      </c>
      <c r="D11" s="33">
        <v>1</v>
      </c>
      <c r="E11" s="33">
        <v>1</v>
      </c>
      <c r="F11" s="54" t="s">
        <v>30</v>
      </c>
      <c r="G11" s="33">
        <v>3</v>
      </c>
      <c r="H11" s="33">
        <v>2</v>
      </c>
      <c r="I11" s="33">
        <v>2</v>
      </c>
      <c r="J11" s="33">
        <v>3</v>
      </c>
      <c r="K11" s="33"/>
      <c r="L11" s="33"/>
      <c r="M11" s="33"/>
      <c r="N11" s="33"/>
      <c r="O11" s="33"/>
      <c r="P11" s="33"/>
      <c r="Q11" s="33"/>
      <c r="R11" s="21">
        <v>18</v>
      </c>
      <c r="S11" s="21">
        <v>18</v>
      </c>
      <c r="T11" s="44">
        <v>21</v>
      </c>
      <c r="U11" s="50"/>
    </row>
    <row r="12" spans="1:21" s="23" customFormat="1" ht="17.25" customHeight="1" x14ac:dyDescent="0.25">
      <c r="A12" s="21" t="s">
        <v>11</v>
      </c>
      <c r="B12" s="33"/>
      <c r="C12" s="33"/>
      <c r="D12" s="33"/>
      <c r="E12" s="33"/>
      <c r="F12" s="54" t="s">
        <v>39</v>
      </c>
      <c r="G12" s="33">
        <v>2</v>
      </c>
      <c r="H12" s="33"/>
      <c r="I12" s="33">
        <v>1</v>
      </c>
      <c r="J12" s="54" t="s">
        <v>40</v>
      </c>
      <c r="K12" s="33">
        <v>1</v>
      </c>
      <c r="L12" s="33"/>
      <c r="M12" s="33"/>
      <c r="N12" s="33"/>
      <c r="O12" s="33"/>
      <c r="P12" s="33"/>
      <c r="Q12" s="33"/>
      <c r="R12" s="21">
        <v>9</v>
      </c>
      <c r="S12" s="21">
        <v>9</v>
      </c>
      <c r="T12" s="44">
        <v>5</v>
      </c>
      <c r="U12" s="50"/>
    </row>
    <row r="13" spans="1:21" s="20" customFormat="1" ht="17.25" customHeight="1" x14ac:dyDescent="0.25">
      <c r="A13" s="19" t="s">
        <v>12</v>
      </c>
      <c r="B13" s="32">
        <v>1</v>
      </c>
      <c r="C13" s="32">
        <v>2</v>
      </c>
      <c r="D13" s="32">
        <v>1</v>
      </c>
      <c r="E13" s="32">
        <v>1</v>
      </c>
      <c r="F13" s="32">
        <v>22</v>
      </c>
      <c r="G13" s="32">
        <v>8</v>
      </c>
      <c r="H13" s="32">
        <v>3</v>
      </c>
      <c r="I13" s="32">
        <v>4</v>
      </c>
      <c r="J13" s="32">
        <v>10</v>
      </c>
      <c r="K13" s="32">
        <v>3</v>
      </c>
      <c r="L13" s="32"/>
      <c r="M13" s="32"/>
      <c r="N13" s="32">
        <v>1</v>
      </c>
      <c r="O13" s="32"/>
      <c r="P13" s="32"/>
      <c r="Q13" s="32"/>
      <c r="R13" s="19">
        <v>56</v>
      </c>
      <c r="S13" s="19">
        <v>56</v>
      </c>
      <c r="T13" s="43"/>
      <c r="U13" s="49"/>
    </row>
    <row r="14" spans="1:21" s="20" customFormat="1" ht="17.25" customHeight="1" x14ac:dyDescent="0.25">
      <c r="A14" s="19" t="s">
        <v>13</v>
      </c>
      <c r="B14" s="32"/>
      <c r="C14" s="32">
        <v>2</v>
      </c>
      <c r="D14" s="32">
        <v>1</v>
      </c>
      <c r="E14" s="32">
        <v>3</v>
      </c>
      <c r="F14" s="32">
        <v>42</v>
      </c>
      <c r="G14" s="32">
        <v>15</v>
      </c>
      <c r="H14" s="32">
        <v>5</v>
      </c>
      <c r="I14" s="32">
        <v>8</v>
      </c>
      <c r="J14" s="32">
        <v>11</v>
      </c>
      <c r="K14" s="32">
        <v>4</v>
      </c>
      <c r="L14" s="32">
        <v>2</v>
      </c>
      <c r="M14" s="32"/>
      <c r="N14" s="32">
        <v>3</v>
      </c>
      <c r="O14" s="32">
        <v>1</v>
      </c>
      <c r="P14" s="32"/>
      <c r="Q14" s="32"/>
      <c r="R14" s="19">
        <v>97</v>
      </c>
      <c r="S14" s="19">
        <v>97</v>
      </c>
      <c r="T14" s="43"/>
      <c r="U14" s="49"/>
    </row>
    <row r="15" spans="1:21" s="23" customFormat="1" ht="17.25" customHeight="1" x14ac:dyDescent="0.25">
      <c r="A15" s="21" t="s">
        <v>14</v>
      </c>
      <c r="B15" s="33"/>
      <c r="C15" s="33"/>
      <c r="D15" s="33"/>
      <c r="E15" s="33"/>
      <c r="F15" s="33">
        <v>17</v>
      </c>
      <c r="G15" s="33">
        <v>5</v>
      </c>
      <c r="H15" s="33">
        <v>2</v>
      </c>
      <c r="I15" s="33">
        <v>4</v>
      </c>
      <c r="J15" s="33">
        <v>4</v>
      </c>
      <c r="K15" s="33">
        <v>2</v>
      </c>
      <c r="L15" s="33"/>
      <c r="M15" s="33"/>
      <c r="N15" s="33">
        <v>1</v>
      </c>
      <c r="O15" s="33">
        <v>1</v>
      </c>
      <c r="P15" s="33"/>
      <c r="Q15" s="33"/>
      <c r="R15" s="21">
        <v>36</v>
      </c>
      <c r="S15" s="21">
        <v>36</v>
      </c>
      <c r="T15" s="44"/>
      <c r="U15" s="50"/>
    </row>
    <row r="16" spans="1:21" s="23" customFormat="1" ht="17.25" customHeight="1" x14ac:dyDescent="0.25">
      <c r="A16" s="21" t="s">
        <v>15</v>
      </c>
      <c r="B16" s="33"/>
      <c r="C16" s="33"/>
      <c r="D16" s="33"/>
      <c r="E16" s="33"/>
      <c r="F16" s="33"/>
      <c r="G16" s="33">
        <v>1</v>
      </c>
      <c r="H16" s="33"/>
      <c r="I16" s="33"/>
      <c r="J16" s="33"/>
      <c r="K16" s="33"/>
      <c r="L16" s="33"/>
      <c r="M16" s="33"/>
      <c r="N16" s="33">
        <v>1</v>
      </c>
      <c r="O16" s="33"/>
      <c r="P16" s="33"/>
      <c r="Q16" s="33"/>
      <c r="R16" s="21">
        <v>2</v>
      </c>
      <c r="S16" s="21">
        <v>2</v>
      </c>
      <c r="T16" s="44"/>
      <c r="U16" s="50"/>
    </row>
    <row r="17" spans="1:21" s="23" customFormat="1" ht="17.25" customHeight="1" x14ac:dyDescent="0.25">
      <c r="A17" s="21" t="s">
        <v>16</v>
      </c>
      <c r="B17" s="33"/>
      <c r="C17" s="33"/>
      <c r="D17" s="33"/>
      <c r="E17" s="33"/>
      <c r="F17" s="33">
        <v>14</v>
      </c>
      <c r="G17" s="33">
        <v>4</v>
      </c>
      <c r="H17" s="33">
        <v>2</v>
      </c>
      <c r="I17" s="33">
        <v>2</v>
      </c>
      <c r="J17" s="33"/>
      <c r="K17" s="54" t="s">
        <v>32</v>
      </c>
      <c r="L17" s="33"/>
      <c r="M17" s="33"/>
      <c r="N17" s="33">
        <v>1</v>
      </c>
      <c r="O17" s="33"/>
      <c r="P17" s="33"/>
      <c r="Q17" s="33"/>
      <c r="R17" s="21">
        <v>25</v>
      </c>
      <c r="S17" s="21">
        <v>25</v>
      </c>
      <c r="T17" s="44">
        <v>26</v>
      </c>
      <c r="U17" s="50"/>
    </row>
    <row r="18" spans="1:21" s="23" customFormat="1" ht="17.25" customHeight="1" x14ac:dyDescent="0.25">
      <c r="A18" s="21" t="s">
        <v>17</v>
      </c>
      <c r="B18" s="33"/>
      <c r="C18" s="33">
        <v>2</v>
      </c>
      <c r="D18" s="54" t="s">
        <v>38</v>
      </c>
      <c r="E18" s="54" t="s">
        <v>29</v>
      </c>
      <c r="F18" s="54" t="s">
        <v>42</v>
      </c>
      <c r="G18" s="33">
        <v>5</v>
      </c>
      <c r="H18" s="33">
        <v>1</v>
      </c>
      <c r="I18" s="33">
        <v>2</v>
      </c>
      <c r="J18" s="54" t="s">
        <v>31</v>
      </c>
      <c r="K18" s="33"/>
      <c r="L18" s="33">
        <v>2</v>
      </c>
      <c r="M18" s="33"/>
      <c r="N18" s="33"/>
      <c r="O18" s="33"/>
      <c r="P18" s="33"/>
      <c r="Q18" s="33"/>
      <c r="R18" s="27">
        <v>29</v>
      </c>
      <c r="S18" s="27">
        <v>25</v>
      </c>
      <c r="T18" s="44">
        <v>32</v>
      </c>
      <c r="U18" s="22" t="s">
        <v>41</v>
      </c>
    </row>
    <row r="19" spans="1:21" s="46" customFormat="1" ht="17.25" customHeight="1" x14ac:dyDescent="0.25">
      <c r="A19" s="27" t="s">
        <v>18</v>
      </c>
      <c r="B19" s="54"/>
      <c r="C19" s="54"/>
      <c r="D19" s="54"/>
      <c r="E19" s="54"/>
      <c r="F19" s="54">
        <v>5</v>
      </c>
      <c r="G19" s="54"/>
      <c r="H19" s="54"/>
      <c r="I19" s="54"/>
      <c r="J19" s="54">
        <v>4</v>
      </c>
      <c r="K19" s="54"/>
      <c r="L19" s="54"/>
      <c r="M19" s="54"/>
      <c r="N19" s="54"/>
      <c r="O19" s="54"/>
      <c r="P19" s="54"/>
      <c r="Q19" s="54"/>
      <c r="R19" s="27">
        <v>5</v>
      </c>
      <c r="S19" s="27">
        <v>9</v>
      </c>
      <c r="T19" s="44">
        <v>1</v>
      </c>
      <c r="U19" s="22"/>
    </row>
    <row r="20" spans="1:21" s="20" customFormat="1" ht="17.25" customHeight="1" x14ac:dyDescent="0.25">
      <c r="A20" s="19" t="s">
        <v>19</v>
      </c>
      <c r="B20" s="32"/>
      <c r="C20" s="32">
        <v>2</v>
      </c>
      <c r="D20" s="32">
        <v>3</v>
      </c>
      <c r="E20" s="32">
        <v>21</v>
      </c>
      <c r="F20" s="32">
        <v>33</v>
      </c>
      <c r="G20" s="32">
        <v>1</v>
      </c>
      <c r="H20" s="55" t="s">
        <v>34</v>
      </c>
      <c r="I20" s="32">
        <v>4</v>
      </c>
      <c r="J20" s="32">
        <v>4</v>
      </c>
      <c r="K20" s="55" t="s">
        <v>43</v>
      </c>
      <c r="L20" s="32">
        <v>9</v>
      </c>
      <c r="M20" s="32">
        <v>2</v>
      </c>
      <c r="N20" s="32">
        <v>2</v>
      </c>
      <c r="O20" s="32">
        <v>3</v>
      </c>
      <c r="P20" s="32">
        <v>2</v>
      </c>
      <c r="Q20" s="32">
        <v>1</v>
      </c>
      <c r="R20" s="19">
        <v>99</v>
      </c>
      <c r="S20" s="19">
        <v>99</v>
      </c>
      <c r="T20" s="43">
        <v>100</v>
      </c>
      <c r="U20" s="49"/>
    </row>
    <row r="21" spans="1:21" s="18" customFormat="1" ht="17.25" customHeight="1" x14ac:dyDescent="0.25">
      <c r="A21" s="16" t="s">
        <v>20</v>
      </c>
      <c r="B21" s="31"/>
      <c r="C21" s="31">
        <v>1</v>
      </c>
      <c r="D21" s="31">
        <v>2</v>
      </c>
      <c r="E21" s="31">
        <v>8</v>
      </c>
      <c r="F21" s="31">
        <v>16</v>
      </c>
      <c r="G21" s="31">
        <v>4</v>
      </c>
      <c r="H21" s="31">
        <v>4</v>
      </c>
      <c r="I21" s="31">
        <v>3</v>
      </c>
      <c r="J21" s="31">
        <v>3</v>
      </c>
      <c r="K21" s="31">
        <v>1</v>
      </c>
      <c r="L21" s="31"/>
      <c r="M21" s="31"/>
      <c r="N21" s="31"/>
      <c r="O21" s="31"/>
      <c r="P21" s="31"/>
      <c r="Q21" s="31"/>
      <c r="R21" s="17">
        <v>42</v>
      </c>
      <c r="S21" s="17">
        <v>42</v>
      </c>
      <c r="T21" s="42"/>
      <c r="U21" s="48"/>
    </row>
    <row r="22" spans="1:21" s="18" customFormat="1" ht="17.25" customHeight="1" x14ac:dyDescent="0.25">
      <c r="A22" s="16" t="s">
        <v>21</v>
      </c>
      <c r="B22" s="31"/>
      <c r="C22" s="31"/>
      <c r="D22" s="31"/>
      <c r="E22" s="31"/>
      <c r="F22" s="31">
        <v>11</v>
      </c>
      <c r="G22" s="31">
        <v>6</v>
      </c>
      <c r="H22" s="31">
        <v>2</v>
      </c>
      <c r="I22" s="31">
        <v>3</v>
      </c>
      <c r="J22" s="31">
        <v>4</v>
      </c>
      <c r="K22" s="31">
        <v>1</v>
      </c>
      <c r="L22" s="31">
        <v>1</v>
      </c>
      <c r="M22" s="31"/>
      <c r="N22" s="31">
        <v>1</v>
      </c>
      <c r="O22" s="31"/>
      <c r="P22" s="31"/>
      <c r="Q22" s="31"/>
      <c r="R22" s="17">
        <v>29</v>
      </c>
      <c r="S22" s="17">
        <v>29</v>
      </c>
      <c r="T22" s="42"/>
      <c r="U22" s="48"/>
    </row>
    <row r="23" spans="1:21" ht="17.2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1:21" s="39" customFormat="1" ht="17.25" customHeight="1" x14ac:dyDescent="0.25">
      <c r="A24" s="38" t="s">
        <v>22</v>
      </c>
      <c r="B24" s="38">
        <v>2</v>
      </c>
      <c r="C24" s="38">
        <v>9</v>
      </c>
      <c r="D24" s="38">
        <v>8</v>
      </c>
      <c r="E24" s="38">
        <v>34</v>
      </c>
      <c r="F24" s="38">
        <v>198</v>
      </c>
      <c r="G24" s="38">
        <v>91</v>
      </c>
      <c r="H24" s="38">
        <v>33</v>
      </c>
      <c r="I24" s="38">
        <v>68</v>
      </c>
      <c r="J24" s="38">
        <v>84</v>
      </c>
      <c r="K24" s="38">
        <v>33</v>
      </c>
      <c r="L24" s="38">
        <v>20</v>
      </c>
      <c r="M24" s="38">
        <v>12</v>
      </c>
      <c r="N24" s="38">
        <v>23</v>
      </c>
      <c r="O24" s="38">
        <v>10</v>
      </c>
      <c r="P24" s="38">
        <v>2</v>
      </c>
      <c r="Q24" s="38">
        <v>1</v>
      </c>
      <c r="R24" s="38">
        <v>628</v>
      </c>
      <c r="U24" s="53"/>
    </row>
    <row r="25" spans="1:21" s="39" customFormat="1" ht="17.25" customHeight="1" x14ac:dyDescent="0.25">
      <c r="A25" s="38" t="s">
        <v>25</v>
      </c>
      <c r="B25" s="38">
        <f>SUM(B21:B22,B2)</f>
        <v>2</v>
      </c>
      <c r="C25" s="38">
        <f t="shared" ref="C25:R25" si="0">SUM(C21:C22,C2)</f>
        <v>9</v>
      </c>
      <c r="D25" s="38">
        <f t="shared" si="0"/>
        <v>8</v>
      </c>
      <c r="E25" s="38">
        <f t="shared" si="0"/>
        <v>34</v>
      </c>
      <c r="F25" s="38">
        <f t="shared" si="0"/>
        <v>198</v>
      </c>
      <c r="G25" s="38">
        <f t="shared" si="0"/>
        <v>91</v>
      </c>
      <c r="H25" s="38">
        <f t="shared" si="0"/>
        <v>33</v>
      </c>
      <c r="I25" s="38">
        <f t="shared" si="0"/>
        <v>68</v>
      </c>
      <c r="J25" s="38">
        <f t="shared" si="0"/>
        <v>84</v>
      </c>
      <c r="K25" s="38">
        <f t="shared" si="0"/>
        <v>33</v>
      </c>
      <c r="L25" s="38">
        <f t="shared" si="0"/>
        <v>20</v>
      </c>
      <c r="M25" s="38">
        <f t="shared" si="0"/>
        <v>12</v>
      </c>
      <c r="N25" s="38">
        <f t="shared" si="0"/>
        <v>23</v>
      </c>
      <c r="O25" s="38">
        <f t="shared" si="0"/>
        <v>10</v>
      </c>
      <c r="P25" s="38">
        <f t="shared" si="0"/>
        <v>2</v>
      </c>
      <c r="Q25" s="38">
        <f t="shared" si="0"/>
        <v>1</v>
      </c>
      <c r="R25" s="38">
        <f>SUM(R21:R22,R2)</f>
        <v>628</v>
      </c>
      <c r="U25" s="5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531A-D0DB-409A-A322-C99178BBF072}">
  <dimension ref="A1:S25"/>
  <sheetViews>
    <sheetView tabSelected="1" workbookViewId="0">
      <selection activeCell="T1" sqref="T1"/>
    </sheetView>
  </sheetViews>
  <sheetFormatPr defaultColWidth="11.42578125" defaultRowHeight="15" x14ac:dyDescent="0.25"/>
  <cols>
    <col min="1" max="1" width="33.7109375" style="1" customWidth="1"/>
    <col min="2" max="17" width="8" style="1" customWidth="1"/>
    <col min="18" max="18" width="17.5703125" style="1" customWidth="1"/>
    <col min="19" max="19" width="20.5703125" style="1" customWidth="1"/>
    <col min="20" max="16384" width="11.42578125" style="1"/>
  </cols>
  <sheetData>
    <row r="1" spans="1:19" s="13" customFormat="1" ht="28.5" customHeight="1" x14ac:dyDescent="0.25">
      <c r="A1" s="12" t="s">
        <v>0</v>
      </c>
      <c r="B1" s="12">
        <v>4</v>
      </c>
      <c r="C1" s="12">
        <v>5</v>
      </c>
      <c r="D1" s="12">
        <v>6</v>
      </c>
      <c r="E1" s="12">
        <v>7</v>
      </c>
      <c r="F1" s="12">
        <v>8</v>
      </c>
      <c r="G1" s="12">
        <v>9</v>
      </c>
      <c r="H1" s="12">
        <v>10</v>
      </c>
      <c r="I1" s="12">
        <v>11</v>
      </c>
      <c r="J1" s="12">
        <v>12</v>
      </c>
      <c r="K1" s="12">
        <v>13</v>
      </c>
      <c r="L1" s="12">
        <v>14</v>
      </c>
      <c r="M1" s="12">
        <v>15</v>
      </c>
      <c r="N1" s="12">
        <v>16</v>
      </c>
      <c r="O1" s="12">
        <v>17</v>
      </c>
      <c r="P1" s="12">
        <v>19</v>
      </c>
      <c r="Q1" s="12">
        <v>20</v>
      </c>
      <c r="R1" s="14" t="s">
        <v>23</v>
      </c>
      <c r="S1" s="14" t="s">
        <v>24</v>
      </c>
    </row>
    <row r="2" spans="1:19" s="11" customFormat="1" ht="17.25" customHeight="1" x14ac:dyDescent="0.25">
      <c r="A2" s="9" t="s">
        <v>1</v>
      </c>
      <c r="B2" s="10">
        <v>2</v>
      </c>
      <c r="C2" s="10">
        <v>8</v>
      </c>
      <c r="D2" s="10">
        <v>6</v>
      </c>
      <c r="E2" s="10">
        <v>26</v>
      </c>
      <c r="F2" s="10">
        <v>171</v>
      </c>
      <c r="G2" s="10">
        <v>81</v>
      </c>
      <c r="H2" s="10">
        <v>27</v>
      </c>
      <c r="I2" s="10">
        <v>62</v>
      </c>
      <c r="J2" s="10">
        <v>77</v>
      </c>
      <c r="K2" s="10">
        <v>31</v>
      </c>
      <c r="L2" s="10">
        <v>19</v>
      </c>
      <c r="M2" s="10">
        <v>12</v>
      </c>
      <c r="N2" s="10">
        <v>22</v>
      </c>
      <c r="O2" s="10">
        <v>10</v>
      </c>
      <c r="P2" s="10">
        <v>2</v>
      </c>
      <c r="Q2" s="10">
        <v>1</v>
      </c>
      <c r="R2" s="10">
        <v>557</v>
      </c>
      <c r="S2" s="10">
        <f>SUM(B2:Q2)</f>
        <v>557</v>
      </c>
    </row>
    <row r="3" spans="1:19" s="4" customFormat="1" ht="17.25" customHeight="1" x14ac:dyDescent="0.25">
      <c r="A3" s="3" t="s">
        <v>2</v>
      </c>
      <c r="B3" s="3">
        <v>1</v>
      </c>
      <c r="C3" s="3">
        <v>2</v>
      </c>
      <c r="D3" s="3">
        <v>1</v>
      </c>
      <c r="E3" s="3">
        <v>1</v>
      </c>
      <c r="F3" s="3">
        <v>74</v>
      </c>
      <c r="G3" s="3">
        <v>57</v>
      </c>
      <c r="H3" s="3">
        <v>17</v>
      </c>
      <c r="I3" s="3">
        <v>46</v>
      </c>
      <c r="J3" s="3">
        <v>52</v>
      </c>
      <c r="K3" s="3">
        <v>14</v>
      </c>
      <c r="L3" s="3">
        <v>8</v>
      </c>
      <c r="M3" s="3">
        <v>10</v>
      </c>
      <c r="N3" s="3">
        <v>16</v>
      </c>
      <c r="O3" s="3">
        <v>6</v>
      </c>
      <c r="P3" s="3"/>
      <c r="Q3" s="3"/>
      <c r="R3" s="3">
        <v>305</v>
      </c>
      <c r="S3" s="3">
        <f t="shared" ref="S3:S22" si="0">SUM(B3:Q3)</f>
        <v>305</v>
      </c>
    </row>
    <row r="4" spans="1:19" s="8" customFormat="1" ht="17.25" customHeight="1" x14ac:dyDescent="0.25">
      <c r="A4" s="7" t="s">
        <v>3</v>
      </c>
      <c r="B4" s="7"/>
      <c r="C4" s="7"/>
      <c r="D4" s="7"/>
      <c r="E4" s="7"/>
      <c r="F4" s="7">
        <v>48</v>
      </c>
      <c r="G4" s="7">
        <v>46</v>
      </c>
      <c r="H4" s="7">
        <v>11</v>
      </c>
      <c r="I4" s="7">
        <v>38</v>
      </c>
      <c r="J4" s="7">
        <v>45</v>
      </c>
      <c r="K4" s="7">
        <v>10</v>
      </c>
      <c r="L4" s="7">
        <v>7</v>
      </c>
      <c r="M4" s="7">
        <v>10</v>
      </c>
      <c r="N4" s="7">
        <v>15</v>
      </c>
      <c r="O4" s="7">
        <v>6</v>
      </c>
      <c r="P4" s="7"/>
      <c r="Q4" s="7"/>
      <c r="R4" s="7">
        <v>236</v>
      </c>
      <c r="S4" s="7">
        <f t="shared" si="0"/>
        <v>236</v>
      </c>
    </row>
    <row r="5" spans="1:19" s="6" customFormat="1" ht="17.25" customHeight="1" x14ac:dyDescent="0.25">
      <c r="A5" s="5" t="s">
        <v>4</v>
      </c>
      <c r="B5" s="5"/>
      <c r="C5" s="5"/>
      <c r="D5" s="5"/>
      <c r="E5" s="5"/>
      <c r="F5" s="5">
        <v>16</v>
      </c>
      <c r="G5" s="5">
        <v>28</v>
      </c>
      <c r="H5" s="5">
        <v>4</v>
      </c>
      <c r="I5" s="5">
        <v>18</v>
      </c>
      <c r="J5" s="5">
        <v>25</v>
      </c>
      <c r="K5" s="5">
        <v>6</v>
      </c>
      <c r="L5" s="5">
        <v>4</v>
      </c>
      <c r="M5" s="5">
        <v>8</v>
      </c>
      <c r="N5" s="5">
        <v>10</v>
      </c>
      <c r="O5" s="5">
        <v>3</v>
      </c>
      <c r="P5" s="5"/>
      <c r="Q5" s="5"/>
      <c r="R5" s="5">
        <v>122</v>
      </c>
      <c r="S5" s="5">
        <f t="shared" si="0"/>
        <v>122</v>
      </c>
    </row>
    <row r="6" spans="1:19" s="6" customFormat="1" ht="17.25" customHeight="1" x14ac:dyDescent="0.25">
      <c r="A6" s="5" t="s">
        <v>5</v>
      </c>
      <c r="B6" s="5"/>
      <c r="C6" s="5"/>
      <c r="D6" s="5"/>
      <c r="E6" s="5"/>
      <c r="F6" s="5">
        <v>1</v>
      </c>
      <c r="G6" s="5">
        <v>11</v>
      </c>
      <c r="H6" s="5">
        <v>2</v>
      </c>
      <c r="I6" s="5">
        <v>8</v>
      </c>
      <c r="J6" s="5">
        <v>10</v>
      </c>
      <c r="K6" s="5">
        <v>1</v>
      </c>
      <c r="L6" s="5">
        <v>2</v>
      </c>
      <c r="M6" s="5">
        <v>2</v>
      </c>
      <c r="N6" s="5">
        <v>3</v>
      </c>
      <c r="O6" s="5">
        <v>2</v>
      </c>
      <c r="P6" s="5"/>
      <c r="Q6" s="5"/>
      <c r="R6" s="5">
        <v>42</v>
      </c>
      <c r="S6" s="5">
        <f t="shared" si="0"/>
        <v>42</v>
      </c>
    </row>
    <row r="7" spans="1:19" s="6" customFormat="1" ht="17.25" customHeight="1" x14ac:dyDescent="0.25">
      <c r="A7" s="5" t="s">
        <v>6</v>
      </c>
      <c r="B7" s="5"/>
      <c r="C7" s="5"/>
      <c r="D7" s="5"/>
      <c r="E7" s="5"/>
      <c r="F7" s="5">
        <v>15</v>
      </c>
      <c r="G7" s="5">
        <v>5</v>
      </c>
      <c r="H7" s="5">
        <v>1</v>
      </c>
      <c r="I7" s="5">
        <v>5</v>
      </c>
      <c r="J7" s="5">
        <v>2</v>
      </c>
      <c r="K7" s="5">
        <v>3</v>
      </c>
      <c r="L7" s="5"/>
      <c r="M7" s="5"/>
      <c r="N7" s="5">
        <v>1</v>
      </c>
      <c r="O7" s="5">
        <v>1</v>
      </c>
      <c r="P7" s="5"/>
      <c r="Q7" s="5"/>
      <c r="R7" s="5">
        <v>33</v>
      </c>
      <c r="S7" s="5">
        <f t="shared" si="0"/>
        <v>33</v>
      </c>
    </row>
    <row r="8" spans="1:19" s="6" customFormat="1" ht="17.25" customHeight="1" x14ac:dyDescent="0.25">
      <c r="A8" s="5" t="s">
        <v>7</v>
      </c>
      <c r="B8" s="5"/>
      <c r="C8" s="5"/>
      <c r="D8" s="5"/>
      <c r="E8" s="5"/>
      <c r="F8" s="5">
        <v>16</v>
      </c>
      <c r="G8" s="5">
        <v>2</v>
      </c>
      <c r="H8" s="5"/>
      <c r="I8" s="5">
        <v>1</v>
      </c>
      <c r="J8" s="5"/>
      <c r="K8" s="5"/>
      <c r="L8" s="5">
        <v>1</v>
      </c>
      <c r="M8" s="5"/>
      <c r="N8" s="5">
        <v>1</v>
      </c>
      <c r="O8" s="5"/>
      <c r="P8" s="5"/>
      <c r="Q8" s="5"/>
      <c r="R8" s="5">
        <v>21</v>
      </c>
      <c r="S8" s="5">
        <f t="shared" si="0"/>
        <v>21</v>
      </c>
    </row>
    <row r="9" spans="1:19" s="6" customFormat="1" ht="17.25" customHeight="1" x14ac:dyDescent="0.25">
      <c r="A9" s="5" t="s">
        <v>8</v>
      </c>
      <c r="B9" s="5"/>
      <c r="C9" s="5"/>
      <c r="D9" s="5"/>
      <c r="E9" s="5"/>
      <c r="F9" s="5"/>
      <c r="G9" s="5"/>
      <c r="H9" s="5">
        <v>4</v>
      </c>
      <c r="I9" s="5">
        <v>6</v>
      </c>
      <c r="J9" s="5">
        <v>8</v>
      </c>
      <c r="K9" s="5"/>
      <c r="L9" s="5"/>
      <c r="M9" s="5"/>
      <c r="N9" s="5"/>
      <c r="O9" s="5"/>
      <c r="P9" s="5"/>
      <c r="Q9" s="5"/>
      <c r="R9" s="5">
        <v>18</v>
      </c>
      <c r="S9" s="5">
        <f t="shared" si="0"/>
        <v>18</v>
      </c>
    </row>
    <row r="10" spans="1:19" s="8" customFormat="1" ht="17.25" customHeight="1" x14ac:dyDescent="0.25">
      <c r="A10" s="7" t="s">
        <v>9</v>
      </c>
      <c r="B10" s="7"/>
      <c r="C10" s="7"/>
      <c r="D10" s="7"/>
      <c r="E10" s="7"/>
      <c r="F10" s="7">
        <v>19</v>
      </c>
      <c r="G10" s="7">
        <v>6</v>
      </c>
      <c r="H10" s="7">
        <v>4</v>
      </c>
      <c r="I10" s="7">
        <v>5</v>
      </c>
      <c r="J10" s="7">
        <v>3</v>
      </c>
      <c r="K10" s="7">
        <v>3</v>
      </c>
      <c r="L10" s="7">
        <v>1</v>
      </c>
      <c r="M10" s="7"/>
      <c r="N10" s="7">
        <v>1</v>
      </c>
      <c r="O10" s="7"/>
      <c r="P10" s="7"/>
      <c r="Q10" s="7"/>
      <c r="R10" s="7">
        <v>42</v>
      </c>
      <c r="S10" s="7">
        <f t="shared" si="0"/>
        <v>42</v>
      </c>
    </row>
    <row r="11" spans="1:19" s="8" customFormat="1" ht="17.25" customHeight="1" x14ac:dyDescent="0.25">
      <c r="A11" s="7" t="s">
        <v>10</v>
      </c>
      <c r="B11" s="7">
        <v>1</v>
      </c>
      <c r="C11" s="7">
        <v>2</v>
      </c>
      <c r="D11" s="7">
        <v>1</v>
      </c>
      <c r="E11" s="7">
        <v>1</v>
      </c>
      <c r="F11" s="7">
        <v>3</v>
      </c>
      <c r="G11" s="7">
        <v>3</v>
      </c>
      <c r="H11" s="7">
        <v>2</v>
      </c>
      <c r="I11" s="7">
        <v>2</v>
      </c>
      <c r="J11" s="7">
        <v>3</v>
      </c>
      <c r="K11" s="7"/>
      <c r="L11" s="7"/>
      <c r="M11" s="7"/>
      <c r="N11" s="7"/>
      <c r="O11" s="7"/>
      <c r="P11" s="7"/>
      <c r="Q11" s="7"/>
      <c r="R11" s="7">
        <v>18</v>
      </c>
      <c r="S11" s="7">
        <f t="shared" si="0"/>
        <v>18</v>
      </c>
    </row>
    <row r="12" spans="1:19" s="8" customFormat="1" ht="17.25" customHeight="1" x14ac:dyDescent="0.25">
      <c r="A12" s="7" t="s">
        <v>11</v>
      </c>
      <c r="B12" s="7"/>
      <c r="C12" s="7"/>
      <c r="D12" s="7"/>
      <c r="E12" s="7"/>
      <c r="F12" s="7">
        <v>4</v>
      </c>
      <c r="G12" s="7">
        <v>2</v>
      </c>
      <c r="H12" s="7"/>
      <c r="I12" s="7">
        <v>1</v>
      </c>
      <c r="J12" s="7">
        <v>1</v>
      </c>
      <c r="K12" s="7">
        <v>1</v>
      </c>
      <c r="L12" s="7"/>
      <c r="M12" s="7"/>
      <c r="N12" s="7"/>
      <c r="O12" s="7"/>
      <c r="P12" s="7"/>
      <c r="Q12" s="7"/>
      <c r="R12" s="7">
        <v>9</v>
      </c>
      <c r="S12" s="7">
        <f t="shared" si="0"/>
        <v>9</v>
      </c>
    </row>
    <row r="13" spans="1:19" s="4" customFormat="1" ht="17.25" customHeight="1" x14ac:dyDescent="0.25">
      <c r="A13" s="3" t="s">
        <v>12</v>
      </c>
      <c r="B13" s="3">
        <v>1</v>
      </c>
      <c r="C13" s="3">
        <v>2</v>
      </c>
      <c r="D13" s="3">
        <v>1</v>
      </c>
      <c r="E13" s="3">
        <v>1</v>
      </c>
      <c r="F13" s="3">
        <v>22</v>
      </c>
      <c r="G13" s="3">
        <v>8</v>
      </c>
      <c r="H13" s="3">
        <v>3</v>
      </c>
      <c r="I13" s="3">
        <v>4</v>
      </c>
      <c r="J13" s="3">
        <v>10</v>
      </c>
      <c r="K13" s="3">
        <v>3</v>
      </c>
      <c r="L13" s="3"/>
      <c r="M13" s="3"/>
      <c r="N13" s="3">
        <v>1</v>
      </c>
      <c r="O13" s="3"/>
      <c r="P13" s="3"/>
      <c r="Q13" s="3"/>
      <c r="R13" s="3">
        <v>56</v>
      </c>
      <c r="S13" s="3">
        <f t="shared" si="0"/>
        <v>56</v>
      </c>
    </row>
    <row r="14" spans="1:19" s="4" customFormat="1" ht="17.25" customHeight="1" x14ac:dyDescent="0.25">
      <c r="A14" s="3" t="s">
        <v>13</v>
      </c>
      <c r="B14" s="3"/>
      <c r="C14" s="3">
        <v>2</v>
      </c>
      <c r="D14" s="3">
        <v>1</v>
      </c>
      <c r="E14" s="3">
        <v>3</v>
      </c>
      <c r="F14" s="3">
        <v>42</v>
      </c>
      <c r="G14" s="3">
        <v>15</v>
      </c>
      <c r="H14" s="3">
        <v>5</v>
      </c>
      <c r="I14" s="3">
        <v>8</v>
      </c>
      <c r="J14" s="3">
        <v>11</v>
      </c>
      <c r="K14" s="3">
        <v>4</v>
      </c>
      <c r="L14" s="3">
        <v>2</v>
      </c>
      <c r="M14" s="3"/>
      <c r="N14" s="3">
        <v>3</v>
      </c>
      <c r="O14" s="3">
        <v>1</v>
      </c>
      <c r="P14" s="3"/>
      <c r="Q14" s="3"/>
      <c r="R14" s="3">
        <v>97</v>
      </c>
      <c r="S14" s="3">
        <f t="shared" si="0"/>
        <v>97</v>
      </c>
    </row>
    <row r="15" spans="1:19" s="8" customFormat="1" ht="17.25" customHeight="1" x14ac:dyDescent="0.25">
      <c r="A15" s="7" t="s">
        <v>14</v>
      </c>
      <c r="B15" s="7"/>
      <c r="C15" s="7"/>
      <c r="D15" s="7"/>
      <c r="E15" s="7"/>
      <c r="F15" s="7">
        <v>17</v>
      </c>
      <c r="G15" s="7">
        <v>5</v>
      </c>
      <c r="H15" s="7">
        <v>2</v>
      </c>
      <c r="I15" s="7">
        <v>4</v>
      </c>
      <c r="J15" s="7">
        <v>4</v>
      </c>
      <c r="K15" s="7">
        <v>2</v>
      </c>
      <c r="L15" s="7"/>
      <c r="M15" s="7"/>
      <c r="N15" s="7">
        <v>1</v>
      </c>
      <c r="O15" s="7">
        <v>1</v>
      </c>
      <c r="P15" s="7"/>
      <c r="Q15" s="7"/>
      <c r="R15" s="7">
        <v>36</v>
      </c>
      <c r="S15" s="7">
        <f t="shared" si="0"/>
        <v>36</v>
      </c>
    </row>
    <row r="16" spans="1:19" s="8" customFormat="1" ht="17.25" customHeight="1" x14ac:dyDescent="0.25">
      <c r="A16" s="7" t="s">
        <v>15</v>
      </c>
      <c r="B16" s="7"/>
      <c r="C16" s="7"/>
      <c r="D16" s="7"/>
      <c r="E16" s="7"/>
      <c r="F16" s="7"/>
      <c r="G16" s="7">
        <v>1</v>
      </c>
      <c r="H16" s="7"/>
      <c r="I16" s="7"/>
      <c r="J16" s="7"/>
      <c r="K16" s="7"/>
      <c r="L16" s="7"/>
      <c r="M16" s="7"/>
      <c r="N16" s="7">
        <v>1</v>
      </c>
      <c r="O16" s="7"/>
      <c r="P16" s="7"/>
      <c r="Q16" s="7"/>
      <c r="R16" s="7">
        <v>2</v>
      </c>
      <c r="S16" s="7">
        <f t="shared" si="0"/>
        <v>2</v>
      </c>
    </row>
    <row r="17" spans="1:19" s="8" customFormat="1" ht="17.25" customHeight="1" x14ac:dyDescent="0.25">
      <c r="A17" s="7" t="s">
        <v>16</v>
      </c>
      <c r="B17" s="7"/>
      <c r="C17" s="7"/>
      <c r="D17" s="7"/>
      <c r="E17" s="7"/>
      <c r="F17" s="7">
        <v>14</v>
      </c>
      <c r="G17" s="7">
        <v>4</v>
      </c>
      <c r="H17" s="7">
        <v>2</v>
      </c>
      <c r="I17" s="7">
        <v>2</v>
      </c>
      <c r="J17" s="7">
        <v>0</v>
      </c>
      <c r="K17" s="7">
        <v>2</v>
      </c>
      <c r="L17" s="7"/>
      <c r="M17" s="7"/>
      <c r="N17" s="7">
        <v>1</v>
      </c>
      <c r="O17" s="7"/>
      <c r="P17" s="7"/>
      <c r="Q17" s="7"/>
      <c r="R17" s="7">
        <v>25</v>
      </c>
      <c r="S17" s="7">
        <f t="shared" si="0"/>
        <v>25</v>
      </c>
    </row>
    <row r="18" spans="1:19" s="8" customFormat="1" ht="17.25" customHeight="1" x14ac:dyDescent="0.25">
      <c r="A18" s="7" t="s">
        <v>17</v>
      </c>
      <c r="B18" s="7"/>
      <c r="C18" s="7">
        <v>2</v>
      </c>
      <c r="D18" s="7">
        <v>1</v>
      </c>
      <c r="E18" s="7">
        <v>3</v>
      </c>
      <c r="F18" s="7">
        <v>6</v>
      </c>
      <c r="G18" s="7">
        <v>5</v>
      </c>
      <c r="H18" s="7">
        <v>1</v>
      </c>
      <c r="I18" s="7">
        <v>2</v>
      </c>
      <c r="J18" s="7">
        <v>3</v>
      </c>
      <c r="K18" s="7"/>
      <c r="L18" s="7">
        <v>2</v>
      </c>
      <c r="M18" s="7"/>
      <c r="N18" s="7"/>
      <c r="O18" s="7"/>
      <c r="P18" s="7"/>
      <c r="Q18" s="7"/>
      <c r="R18" s="15">
        <v>29</v>
      </c>
      <c r="S18" s="15">
        <f t="shared" si="0"/>
        <v>25</v>
      </c>
    </row>
    <row r="19" spans="1:19" s="8" customFormat="1" ht="17.25" customHeight="1" x14ac:dyDescent="0.25">
      <c r="A19" s="7" t="s">
        <v>18</v>
      </c>
      <c r="B19" s="7"/>
      <c r="C19" s="7"/>
      <c r="D19" s="7"/>
      <c r="E19" s="7"/>
      <c r="F19" s="7">
        <v>5</v>
      </c>
      <c r="G19" s="7"/>
      <c r="H19" s="7"/>
      <c r="I19" s="7"/>
      <c r="J19" s="7">
        <v>4</v>
      </c>
      <c r="K19" s="7"/>
      <c r="L19" s="7"/>
      <c r="M19" s="7"/>
      <c r="N19" s="7"/>
      <c r="O19" s="7"/>
      <c r="P19" s="7"/>
      <c r="Q19" s="7"/>
      <c r="R19" s="7">
        <v>5</v>
      </c>
      <c r="S19" s="7">
        <f t="shared" si="0"/>
        <v>9</v>
      </c>
    </row>
    <row r="20" spans="1:19" s="4" customFormat="1" ht="17.25" customHeight="1" x14ac:dyDescent="0.25">
      <c r="A20" s="3" t="s">
        <v>19</v>
      </c>
      <c r="B20" s="3"/>
      <c r="C20" s="3">
        <v>2</v>
      </c>
      <c r="D20" s="3">
        <v>3</v>
      </c>
      <c r="E20" s="3">
        <v>21</v>
      </c>
      <c r="F20" s="3">
        <v>33</v>
      </c>
      <c r="G20" s="3">
        <v>1</v>
      </c>
      <c r="H20" s="3">
        <v>2</v>
      </c>
      <c r="I20" s="3">
        <v>4</v>
      </c>
      <c r="J20" s="3">
        <v>4</v>
      </c>
      <c r="K20" s="3">
        <v>10</v>
      </c>
      <c r="L20" s="3">
        <v>9</v>
      </c>
      <c r="M20" s="3">
        <v>2</v>
      </c>
      <c r="N20" s="3">
        <v>2</v>
      </c>
      <c r="O20" s="3">
        <v>3</v>
      </c>
      <c r="P20" s="3">
        <v>2</v>
      </c>
      <c r="Q20" s="3">
        <v>1</v>
      </c>
      <c r="R20" s="3">
        <v>99</v>
      </c>
      <c r="S20" s="3">
        <f t="shared" si="0"/>
        <v>99</v>
      </c>
    </row>
    <row r="21" spans="1:19" s="11" customFormat="1" ht="17.25" customHeight="1" x14ac:dyDescent="0.25">
      <c r="A21" s="9" t="s">
        <v>20</v>
      </c>
      <c r="B21" s="10"/>
      <c r="C21" s="10">
        <v>1</v>
      </c>
      <c r="D21" s="10">
        <v>2</v>
      </c>
      <c r="E21" s="10">
        <v>8</v>
      </c>
      <c r="F21" s="10">
        <v>16</v>
      </c>
      <c r="G21" s="10">
        <v>4</v>
      </c>
      <c r="H21" s="10">
        <v>4</v>
      </c>
      <c r="I21" s="10">
        <v>3</v>
      </c>
      <c r="J21" s="10">
        <v>3</v>
      </c>
      <c r="K21" s="10">
        <v>1</v>
      </c>
      <c r="L21" s="10"/>
      <c r="M21" s="10"/>
      <c r="N21" s="10"/>
      <c r="O21" s="10"/>
      <c r="P21" s="10"/>
      <c r="Q21" s="10"/>
      <c r="R21" s="10">
        <v>42</v>
      </c>
      <c r="S21" s="10">
        <f t="shared" si="0"/>
        <v>42</v>
      </c>
    </row>
    <row r="22" spans="1:19" s="11" customFormat="1" ht="17.25" customHeight="1" x14ac:dyDescent="0.25">
      <c r="A22" s="9" t="s">
        <v>21</v>
      </c>
      <c r="B22" s="10"/>
      <c r="C22" s="10"/>
      <c r="D22" s="10"/>
      <c r="E22" s="10"/>
      <c r="F22" s="10">
        <v>11</v>
      </c>
      <c r="G22" s="10">
        <v>6</v>
      </c>
      <c r="H22" s="10">
        <v>2</v>
      </c>
      <c r="I22" s="10">
        <v>3</v>
      </c>
      <c r="J22" s="10">
        <v>4</v>
      </c>
      <c r="K22" s="10">
        <v>1</v>
      </c>
      <c r="L22" s="10">
        <v>1</v>
      </c>
      <c r="M22" s="10"/>
      <c r="N22" s="10">
        <v>1</v>
      </c>
      <c r="O22" s="10"/>
      <c r="P22" s="10"/>
      <c r="Q22" s="10"/>
      <c r="R22" s="10">
        <v>29</v>
      </c>
      <c r="S22" s="10">
        <f t="shared" si="0"/>
        <v>29</v>
      </c>
    </row>
    <row r="23" spans="1:19" ht="17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s="13" customFormat="1" ht="17.25" customHeight="1" x14ac:dyDescent="0.25">
      <c r="A24" s="12" t="s">
        <v>22</v>
      </c>
      <c r="B24" s="12">
        <v>2</v>
      </c>
      <c r="C24" s="12">
        <v>9</v>
      </c>
      <c r="D24" s="12">
        <v>8</v>
      </c>
      <c r="E24" s="12">
        <v>34</v>
      </c>
      <c r="F24" s="12">
        <v>198</v>
      </c>
      <c r="G24" s="12">
        <v>91</v>
      </c>
      <c r="H24" s="12">
        <v>33</v>
      </c>
      <c r="I24" s="12">
        <v>68</v>
      </c>
      <c r="J24" s="12">
        <v>84</v>
      </c>
      <c r="K24" s="12">
        <v>33</v>
      </c>
      <c r="L24" s="12">
        <v>20</v>
      </c>
      <c r="M24" s="12">
        <v>12</v>
      </c>
      <c r="N24" s="12">
        <v>23</v>
      </c>
      <c r="O24" s="12">
        <v>10</v>
      </c>
      <c r="P24" s="12">
        <v>2</v>
      </c>
      <c r="Q24" s="12">
        <v>1</v>
      </c>
      <c r="R24" s="12">
        <v>628</v>
      </c>
    </row>
    <row r="25" spans="1:19" s="13" customFormat="1" ht="17.25" customHeight="1" x14ac:dyDescent="0.25">
      <c r="A25" s="12" t="s">
        <v>25</v>
      </c>
      <c r="B25" s="12">
        <f>SUM(B21:B22,B2)</f>
        <v>2</v>
      </c>
      <c r="C25" s="12">
        <f t="shared" ref="C25:R25" si="1">SUM(C21:C22,C2)</f>
        <v>9</v>
      </c>
      <c r="D25" s="12">
        <f t="shared" si="1"/>
        <v>8</v>
      </c>
      <c r="E25" s="12">
        <f t="shared" si="1"/>
        <v>34</v>
      </c>
      <c r="F25" s="12">
        <f t="shared" si="1"/>
        <v>198</v>
      </c>
      <c r="G25" s="12">
        <f t="shared" si="1"/>
        <v>91</v>
      </c>
      <c r="H25" s="12">
        <f t="shared" si="1"/>
        <v>33</v>
      </c>
      <c r="I25" s="12">
        <f t="shared" si="1"/>
        <v>68</v>
      </c>
      <c r="J25" s="12">
        <f t="shared" si="1"/>
        <v>84</v>
      </c>
      <c r="K25" s="12">
        <f t="shared" si="1"/>
        <v>33</v>
      </c>
      <c r="L25" s="12">
        <f t="shared" si="1"/>
        <v>20</v>
      </c>
      <c r="M25" s="12">
        <f t="shared" si="1"/>
        <v>12</v>
      </c>
      <c r="N25" s="12">
        <f t="shared" si="1"/>
        <v>23</v>
      </c>
      <c r="O25" s="12">
        <f t="shared" si="1"/>
        <v>10</v>
      </c>
      <c r="P25" s="12">
        <f t="shared" si="1"/>
        <v>2</v>
      </c>
      <c r="Q25" s="12">
        <f t="shared" si="1"/>
        <v>1</v>
      </c>
      <c r="R25" s="12">
        <f>SUM(R21:R22,R2)</f>
        <v>628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F7E8CC199CA94681D69FE7BCDC59CD" ma:contentTypeVersion="1" ma:contentTypeDescription="Crée un document." ma:contentTypeScope="" ma:versionID="60d9c0d37e9bb8e6b4c0095e25ee25d8">
  <xsd:schema xmlns:xsd="http://www.w3.org/2001/XMLSchema" xmlns:xs="http://www.w3.org/2001/XMLSchema" xmlns:p="http://schemas.microsoft.com/office/2006/metadata/properties" xmlns:ns3="7d222fce-978c-4eef-82e8-bd395af672e2" targetNamespace="http://schemas.microsoft.com/office/2006/metadata/properties" ma:root="true" ma:fieldsID="8e18f95081f9d70bbf66d0aef207e6e3" ns3:_="">
    <xsd:import namespace="7d222fce-978c-4eef-82e8-bd395af672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22fce-978c-4eef-82e8-bd395af672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0B55FD-1BE3-4EF9-A31F-DC15A9958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22fce-978c-4eef-82e8-bd395af672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FC5D57-5A38-4330-8E19-07160B7C3DE6}">
  <ds:schemaRefs>
    <ds:schemaRef ds:uri="http://purl.org/dc/terms/"/>
    <ds:schemaRef ds:uri="7d222fce-978c-4eef-82e8-bd395af672e2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29448C3-6CA6-41D5-9EB7-F8204B28D1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</vt:lpstr>
      <vt:lpstr>v0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Minh Ngoc</dc:creator>
  <cp:lastModifiedBy>Vu Minh Ngoc</cp:lastModifiedBy>
  <dcterms:created xsi:type="dcterms:W3CDTF">2026-01-23T00:51:05Z</dcterms:created>
  <dcterms:modified xsi:type="dcterms:W3CDTF">2026-01-26T14:23:27Z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0x010100C7F7E8CC199CA94681D69FE7BCDC59CD</vt:lpwstr>
  </property>
</Properties>
</file>